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AI Prompt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Enter the total loan amount. Example: 25000</t>
        </r>
      </text>
    </comment>
    <comment ref="D8" authorId="0">
      <text>
        <r>
          <rPr>
            <sz val="10"/>
            <rFont val="Arial"/>
            <family val="2"/>
          </rPr>
          <t xml:space="preserve">Enter annual interest rate as decimal. Example: 0.059 for 5.9%</t>
        </r>
      </text>
    </comment>
    <comment ref="D9" authorId="0">
      <text>
        <r>
          <rPr>
            <sz val="10"/>
            <rFont val="Arial"/>
            <family val="2"/>
          </rPr>
          <t xml:space="preserve">Number of months. Common: 24, 36, 48, 60, 72</t>
        </r>
      </text>
    </comment>
    <comment ref="D10" authorId="0">
      <text>
        <r>
          <rPr>
            <sz val="10"/>
            <rFont val="Arial"/>
            <family val="2"/>
          </rPr>
          <t xml:space="preserve">Date of your first payment</t>
        </r>
      </text>
    </comment>
    <comment ref="D11" authorId="0">
      <text>
        <r>
          <rPr>
            <sz val="10"/>
            <rFont val="Arial"/>
            <family val="2"/>
          </rPr>
          <t xml:space="preserve">Optional extra monthly payment to reduce interest. Enter 0 to skip.</t>
        </r>
      </text>
    </comment>
  </commentList>
</comments>
</file>

<file path=xl/sharedStrings.xml><?xml version="1.0" encoding="utf-8"?>
<sst xmlns="http://schemas.openxmlformats.org/spreadsheetml/2006/main" count="38" uniqueCount="38">
  <si>
    <t xml:space="preserve">Car Loan Amortization Schedule</t>
  </si>
  <si>
    <t xml:space="preserve">pairworkflows.com  |  Free Excel Templates  |  For Personal Use Only</t>
  </si>
  <si>
    <t xml:space="preserve">📋  LOAN INPUTS</t>
  </si>
  <si>
    <t xml:space="preserve">📊  LOAN SUMMARY</t>
  </si>
  <si>
    <t xml:space="preserve">Loan Amount</t>
  </si>
  <si>
    <t xml:space="preserve">Monthly Payment</t>
  </si>
  <si>
    <t xml:space="preserve">Annual Interest Rate</t>
  </si>
  <si>
    <t xml:space="preserve">Total Payments</t>
  </si>
  <si>
    <t xml:space="preserve">Loan Term (months)</t>
  </si>
  <si>
    <t xml:space="preserve">Total Interest</t>
  </si>
  <si>
    <t xml:space="preserve">Start Date</t>
  </si>
  <si>
    <t xml:space="preserve">Total Cost</t>
  </si>
  <si>
    <t xml:space="preserve">Extra Monthly Payment</t>
  </si>
  <si>
    <t xml:space="preserve">Interest Savings</t>
  </si>
  <si>
    <t xml:space="preserve">Month</t>
  </si>
  <si>
    <t xml:space="preserve">Date</t>
  </si>
  <si>
    <t xml:space="preserve">Payment</t>
  </si>
  <si>
    <t xml:space="preserve">Principal</t>
  </si>
  <si>
    <t xml:space="preserve">Interest</t>
  </si>
  <si>
    <t xml:space="preserve">Extra Pmt</t>
  </si>
  <si>
    <t xml:space="preserve">Balance</t>
  </si>
  <si>
    <t xml:space="preserve">Use Claude or Gemini to Go Deeper</t>
  </si>
  <si>
    <t xml:space="preserve">Copy any prompt below and paste into claude.ai or gemini.google.com</t>
  </si>
  <si>
    <t xml:space="preserve">Prompt 1 — Analyse Your Loan</t>
  </si>
  <si>
    <t xml:space="preserve">Analyse my car loan: I am borrowing $25,000 at 5.9% for 60 months.
Tell me: total interest I will pay, whether adding $100/month extra would save me significant interest, and how many months earlier I would finish paying.</t>
  </si>
  <si>
    <t xml:space="preserve">Prompt 2 — Should I Refinance?</t>
  </si>
  <si>
    <t xml:space="preserve">I currently have a car loan: balance $20,000, rate 5.9%, 48 months remaining.
I can refinance at 3.9%. Should I refinance? Show monthly payment before/after, total interest before/after, and break-even point in months.</t>
  </si>
  <si>
    <t xml:space="preserve">Prompt 3 — Explain in Simple Terms</t>
  </si>
  <si>
    <t xml:space="preserve">Explain this car loan amortization schedule in plain English.
Why do most early payments go to interest rather than principal? What does amortization actually mean?</t>
  </si>
  <si>
    <t xml:space="preserve">How to Use This Template</t>
  </si>
  <si>
    <t xml:space="preserve">STEP 1</t>
  </si>
  <si>
    <t xml:space="preserve">Open the 'Calculator' tab at the bottom of the workbook.</t>
  </si>
  <si>
    <t xml:space="preserve">STEP 2</t>
  </si>
  <si>
    <t xml:space="preserve">Fill in the green cells D7 to D11: loan amount, interest rate, term in months, start date, and any extra monthly payment.</t>
  </si>
  <si>
    <t xml:space="preserve">STEP 3</t>
  </si>
  <si>
    <t xml:space="preserve">The LOAN SUMMARY (cells H7:H11) updates automatically. Check Monthly Payment, Total Interest, and Interest Savings.</t>
  </si>
  <si>
    <t xml:space="preserve">STEP 4</t>
  </si>
  <si>
    <t xml:space="preserve">Scroll down to see the full amortization table — every payment broken into principal, interest, extra payment, and remaining balance.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</si>
</sst>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_-"/>
    <numFmt numFmtId="166" formatCode="0.00%"/>
    <numFmt numFmtId="167" formatCode="0"/>
    <numFmt numFmtId="168" formatCode="mm/dd/yyyy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u val="single"/>
      <sz val="9"/>
      <color rgb="FF9FE1C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85041"/>
      <name val="Calibri"/>
      <family val="0"/>
      <charset val="1"/>
    </font>
    <font>
      <b val="true"/>
      <sz val="10"/>
      <color rgb="FF374151"/>
      <name val="Calibri"/>
      <family val="0"/>
      <charset val="1"/>
    </font>
    <font>
      <sz val="10"/>
      <name val="Arial"/>
      <family val="2"/>
    </font>
    <font>
      <i val="true"/>
      <sz val="9"/>
      <color rgb="FF37415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8FAFB"/>
      </patternFill>
    </fill>
    <fill>
      <patternFill patternType="solid">
        <fgColor rgb="FF085041"/>
        <bgColor rgb="FF374151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F0FDF4"/>
      </patternFill>
    </fill>
    <fill>
      <patternFill patternType="solid">
        <fgColor rgb="FFF8FAFB"/>
        <bgColor rgb="FFF0FDF4"/>
      </patternFill>
    </fill>
    <fill>
      <patternFill patternType="solid">
        <fgColor rgb="FFF0FDF4"/>
        <bgColor rgb="FFF8FAF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7" fontId="8" fillId="5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8" fillId="5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B"/>
      <rgbColor rgb="FFCCFFCC"/>
      <rgbColor rgb="FFFFFF99"/>
      <rgbColor rgb="FF9FE1C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5041"/>
      <rgbColor rgb="FF1D9E75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pairworkflows.com/" TargetMode="Externa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8"/>
    <col collapsed="false" customWidth="true" hidden="false" outlineLevel="0" max="3" min="3" style="1" width="13"/>
    <col collapsed="false" customWidth="true" hidden="false" outlineLevel="0" max="6" min="4" style="1" width="12"/>
    <col collapsed="false" customWidth="true" hidden="false" outlineLevel="0" max="7" min="7" style="1" width="10"/>
    <col collapsed="false" customWidth="true" hidden="false" outlineLevel="0" max="8" min="8" style="1" width="13"/>
  </cols>
  <sheetData>
    <row r="1" customFormat="false" ht="25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</row>
    <row r="2" customFormat="false" ht="15.75" hidden="false" customHeight="true" outlineLevel="0" collapsed="false">
      <c r="A2" s="2"/>
      <c r="B2" s="4" t="s">
        <v>1</v>
      </c>
      <c r="C2" s="4"/>
      <c r="D2" s="4"/>
      <c r="E2" s="4"/>
      <c r="F2" s="4"/>
      <c r="G2" s="4"/>
      <c r="H2" s="4"/>
    </row>
    <row r="3" customFormat="false" ht="6" hidden="false" customHeight="true" outlineLevel="0" collapsed="false">
      <c r="A3" s="2"/>
      <c r="B3" s="5"/>
      <c r="C3" s="5"/>
      <c r="D3" s="5"/>
      <c r="E3" s="5"/>
      <c r="F3" s="5"/>
      <c r="G3" s="5"/>
      <c r="H3" s="5"/>
    </row>
    <row r="4" customFormat="false" ht="7.5" hidden="false" customHeight="true" outlineLevel="0" collapsed="false">
      <c r="A4" s="2"/>
    </row>
    <row r="5" customFormat="false" ht="7.5" hidden="false" customHeight="true" outlineLevel="0" collapsed="false">
      <c r="A5" s="2"/>
    </row>
    <row r="6" customFormat="false" ht="21.75" hidden="false" customHeight="true" outlineLevel="0" collapsed="false">
      <c r="A6" s="2"/>
      <c r="B6" s="6" t="s">
        <v>2</v>
      </c>
      <c r="C6" s="6"/>
      <c r="D6" s="6"/>
      <c r="E6" s="2"/>
      <c r="F6" s="6" t="s">
        <v>3</v>
      </c>
      <c r="G6" s="6"/>
      <c r="H6" s="6"/>
    </row>
    <row r="7" customFormat="false" ht="18" hidden="false" customHeight="true" outlineLevel="0" collapsed="false">
      <c r="A7" s="2"/>
      <c r="B7" s="7" t="s">
        <v>4</v>
      </c>
      <c r="C7" s="7"/>
      <c r="D7" s="8" t="n">
        <v>25000</v>
      </c>
      <c r="E7" s="2"/>
      <c r="F7" s="9" t="s">
        <v>5</v>
      </c>
      <c r="G7" s="9"/>
      <c r="H7" s="10" t="n">
        <f aca="false">IFERROR(PMT(D8/12,D9,-D7),0)</f>
        <v>482.158423912907</v>
      </c>
    </row>
    <row r="8" customFormat="false" ht="18" hidden="false" customHeight="true" outlineLevel="0" collapsed="false">
      <c r="A8" s="2"/>
      <c r="B8" s="7" t="s">
        <v>6</v>
      </c>
      <c r="C8" s="7"/>
      <c r="D8" s="11" t="n">
        <v>0.059</v>
      </c>
      <c r="E8" s="2"/>
      <c r="F8" s="9" t="s">
        <v>7</v>
      </c>
      <c r="G8" s="9"/>
      <c r="H8" s="10" t="n">
        <f aca="false">IFERROR(H7*D9,0)</f>
        <v>28929.5054347744</v>
      </c>
    </row>
    <row r="9" customFormat="false" ht="18" hidden="false" customHeight="true" outlineLevel="0" collapsed="false">
      <c r="A9" s="2"/>
      <c r="B9" s="7" t="s">
        <v>8</v>
      </c>
      <c r="C9" s="7"/>
      <c r="D9" s="12" t="n">
        <v>60</v>
      </c>
      <c r="E9" s="2"/>
      <c r="F9" s="9" t="s">
        <v>9</v>
      </c>
      <c r="G9" s="9"/>
      <c r="H9" s="10" t="n">
        <f aca="false">IFERROR(H8-D7,0)</f>
        <v>3929.50543477443</v>
      </c>
    </row>
    <row r="10" customFormat="false" ht="18" hidden="false" customHeight="true" outlineLevel="0" collapsed="false">
      <c r="A10" s="2"/>
      <c r="B10" s="7" t="s">
        <v>10</v>
      </c>
      <c r="C10" s="7"/>
      <c r="D10" s="13" t="n">
        <v>45658</v>
      </c>
      <c r="E10" s="2"/>
      <c r="F10" s="9" t="s">
        <v>11</v>
      </c>
      <c r="G10" s="9"/>
      <c r="H10" s="10" t="n">
        <f aca="false">IFERROR(D7+H9,0)</f>
        <v>28929.5054347744</v>
      </c>
    </row>
    <row r="11" customFormat="false" ht="18" hidden="false" customHeight="true" outlineLevel="0" collapsed="false">
      <c r="A11" s="2"/>
      <c r="B11" s="7" t="s">
        <v>12</v>
      </c>
      <c r="C11" s="7"/>
      <c r="D11" s="8" t="n">
        <v>0</v>
      </c>
      <c r="E11" s="2"/>
      <c r="F11" s="9" t="s">
        <v>13</v>
      </c>
      <c r="G11" s="9"/>
      <c r="H11" s="10" t="n">
        <f aca="false">IFERROR(IF(D11&gt;0,(PMT(D8/12,D9,-D7)*D9-D7)-(H7*D9-D7),0),0)</f>
        <v>0</v>
      </c>
    </row>
    <row r="12" customFormat="false" ht="7.5" hidden="false" customHeight="true" outlineLevel="0" collapsed="false">
      <c r="A12" s="2"/>
    </row>
    <row r="13" customFormat="false" ht="19.5" hidden="false" customHeight="true" outlineLevel="0" collapsed="false">
      <c r="A13" s="2"/>
      <c r="B13" s="14" t="s">
        <v>14</v>
      </c>
      <c r="C13" s="14" t="s">
        <v>15</v>
      </c>
      <c r="D13" s="14" t="s">
        <v>16</v>
      </c>
      <c r="E13" s="14" t="s">
        <v>17</v>
      </c>
      <c r="F13" s="14" t="s">
        <v>18</v>
      </c>
      <c r="G13" s="14" t="s">
        <v>19</v>
      </c>
      <c r="H13" s="14" t="s">
        <v>20</v>
      </c>
    </row>
    <row r="14" customFormat="false" ht="15.75" hidden="false" customHeight="true" outlineLevel="0" collapsed="false">
      <c r="A14" s="2"/>
      <c r="B14" s="15" t="n">
        <f aca="false">IF(D9&gt;=1,1,"")</f>
        <v>1</v>
      </c>
      <c r="C14" s="16" t="n">
        <f aca="false">IF(B14="","",D$10)</f>
        <v>45658</v>
      </c>
      <c r="D14" s="17" t="n">
        <f aca="false">IF(B14="","",H$7)</f>
        <v>482.158423912907</v>
      </c>
      <c r="E14" s="17" t="n">
        <f aca="false">IF(B14="","",D$7*(D$8/12))</f>
        <v>122.916666666667</v>
      </c>
      <c r="F14" s="17" t="n">
        <f aca="false">IF(B14="","",MIN(D$7,D14-E14))</f>
        <v>359.24175724624</v>
      </c>
      <c r="G14" s="17" t="n">
        <f aca="false">IF(B14="","",MIN(D$11,D$7-F14))</f>
        <v>0</v>
      </c>
      <c r="H14" s="17" t="n">
        <f aca="false">IF(B14="","",MAX(D$7-F14-G14,0))</f>
        <v>24640.7582427538</v>
      </c>
    </row>
    <row r="15" customFormat="false" ht="15.75" hidden="false" customHeight="true" outlineLevel="0" collapsed="false">
      <c r="A15" s="2"/>
      <c r="B15" s="18" t="n">
        <f aca="false">IF(OR(B14="",H14&lt;=0),"",B14+1)</f>
        <v>2</v>
      </c>
      <c r="C15" s="19" t="n">
        <f aca="false">IF(B15="","",EDATE(D$10,B15-1))</f>
        <v>45689</v>
      </c>
      <c r="D15" s="20" t="n">
        <f aca="false">IF(B15="","",H$7)</f>
        <v>482.158423912907</v>
      </c>
      <c r="E15" s="20" t="n">
        <f aca="false">IF(B15="","",H14*(D$8/12))</f>
        <v>121.150394693539</v>
      </c>
      <c r="F15" s="20" t="n">
        <f aca="false">IF(B15="","",MIN(H14,D15-E15))</f>
        <v>361.008029219368</v>
      </c>
      <c r="G15" s="20" t="n">
        <f aca="false">IF(B15="","",MIN(D$11,H14-F15))</f>
        <v>0</v>
      </c>
      <c r="H15" s="20" t="n">
        <f aca="false">IF(B15="","",MAX(H14-F15-G15,0))</f>
        <v>24279.7502135344</v>
      </c>
    </row>
    <row r="16" customFormat="false" ht="15.75" hidden="false" customHeight="true" outlineLevel="0" collapsed="false">
      <c r="A16" s="2"/>
      <c r="B16" s="15" t="n">
        <f aca="false">IF(OR(B15="",H15&lt;=0),"",B15+1)</f>
        <v>3</v>
      </c>
      <c r="C16" s="16" t="n">
        <f aca="false">IF(B16="","",EDATE(D$10,B16-1))</f>
        <v>45717</v>
      </c>
      <c r="D16" s="17" t="n">
        <f aca="false">IF(B16="","",H$7)</f>
        <v>482.158423912907</v>
      </c>
      <c r="E16" s="17" t="n">
        <f aca="false">IF(B16="","",H15*(D$8/12))</f>
        <v>119.375438549877</v>
      </c>
      <c r="F16" s="17" t="n">
        <f aca="false">IF(B16="","",MIN(H15,D16-E16))</f>
        <v>362.78298536303</v>
      </c>
      <c r="G16" s="17" t="n">
        <f aca="false">IF(B16="","",MIN(D$11,H15-F16))</f>
        <v>0</v>
      </c>
      <c r="H16" s="17" t="n">
        <f aca="false">IF(B16="","",MAX(H15-F16-G16,0))</f>
        <v>23916.9672281714</v>
      </c>
    </row>
    <row r="17" customFormat="false" ht="15.75" hidden="false" customHeight="true" outlineLevel="0" collapsed="false">
      <c r="A17" s="2"/>
      <c r="B17" s="18" t="n">
        <f aca="false">IF(OR(B16="",H16&lt;=0),"",B16+1)</f>
        <v>4</v>
      </c>
      <c r="C17" s="19" t="n">
        <f aca="false">IF(B17="","",EDATE(D$10,B17-1))</f>
        <v>45748</v>
      </c>
      <c r="D17" s="20" t="n">
        <f aca="false">IF(B17="","",H$7)</f>
        <v>482.158423912907</v>
      </c>
      <c r="E17" s="20" t="n">
        <f aca="false">IF(B17="","",H16*(D$8/12))</f>
        <v>117.591755538509</v>
      </c>
      <c r="F17" s="20" t="n">
        <f aca="false">IF(B17="","",MIN(H16,D17-E17))</f>
        <v>364.566668374398</v>
      </c>
      <c r="G17" s="20" t="n">
        <f aca="false">IF(B17="","",MIN(D$11,H16-F17))</f>
        <v>0</v>
      </c>
      <c r="H17" s="20" t="n">
        <f aca="false">IF(B17="","",MAX(H16-F17-G17,0))</f>
        <v>23552.400559797</v>
      </c>
    </row>
    <row r="18" customFormat="false" ht="15.75" hidden="false" customHeight="true" outlineLevel="0" collapsed="false">
      <c r="A18" s="2"/>
      <c r="B18" s="15" t="n">
        <f aca="false">IF(OR(B17="",H17&lt;=0),"",B17+1)</f>
        <v>5</v>
      </c>
      <c r="C18" s="16" t="n">
        <f aca="false">IF(B18="","",EDATE(D$10,B18-1))</f>
        <v>45778</v>
      </c>
      <c r="D18" s="17" t="n">
        <f aca="false">IF(B18="","",H$7)</f>
        <v>482.158423912907</v>
      </c>
      <c r="E18" s="17" t="n">
        <f aca="false">IF(B18="","",H17*(D$8/12))</f>
        <v>115.799302752335</v>
      </c>
      <c r="F18" s="17" t="n">
        <f aca="false">IF(B18="","",MIN(H17,D18-E18))</f>
        <v>366.359121160572</v>
      </c>
      <c r="G18" s="17" t="n">
        <f aca="false">IF(B18="","",MIN(D$11,H17-F18))</f>
        <v>0</v>
      </c>
      <c r="H18" s="17" t="n">
        <f aca="false">IF(B18="","",MAX(H17-F18-G18,0))</f>
        <v>23186.0414386364</v>
      </c>
    </row>
    <row r="19" customFormat="false" ht="15.75" hidden="false" customHeight="true" outlineLevel="0" collapsed="false">
      <c r="A19" s="2"/>
      <c r="B19" s="18" t="n">
        <f aca="false">IF(OR(B18="",H18&lt;=0),"",B18+1)</f>
        <v>6</v>
      </c>
      <c r="C19" s="19" t="n">
        <f aca="false">IF(B19="","",EDATE(D$10,B19-1))</f>
        <v>45809</v>
      </c>
      <c r="D19" s="20" t="n">
        <f aca="false">IF(B19="","",H$7)</f>
        <v>482.158423912907</v>
      </c>
      <c r="E19" s="20" t="n">
        <f aca="false">IF(B19="","",H18*(D$8/12))</f>
        <v>113.998037073296</v>
      </c>
      <c r="F19" s="20" t="n">
        <f aca="false">IF(B19="","",MIN(H18,D19-E19))</f>
        <v>368.160386839612</v>
      </c>
      <c r="G19" s="20" t="n">
        <f aca="false">IF(B19="","",MIN(D$11,H18-F19))</f>
        <v>0</v>
      </c>
      <c r="H19" s="20" t="n">
        <f aca="false">IF(B19="","",MAX(H18-F19-G19,0))</f>
        <v>22817.8810517968</v>
      </c>
    </row>
    <row r="20" customFormat="false" ht="15.75" hidden="false" customHeight="true" outlineLevel="0" collapsed="false">
      <c r="A20" s="2"/>
      <c r="B20" s="15" t="n">
        <f aca="false">IF(OR(B19="",H19&lt;=0),"",B19+1)</f>
        <v>7</v>
      </c>
      <c r="C20" s="16" t="n">
        <f aca="false">IF(B20="","",EDATE(D$10,B20-1))</f>
        <v>45839</v>
      </c>
      <c r="D20" s="17" t="n">
        <f aca="false">IF(B20="","",H$7)</f>
        <v>482.158423912907</v>
      </c>
      <c r="E20" s="17" t="n">
        <f aca="false">IF(B20="","",H19*(D$8/12))</f>
        <v>112.187915171334</v>
      </c>
      <c r="F20" s="17" t="n">
        <f aca="false">IF(B20="","",MIN(H19,D20-E20))</f>
        <v>369.970508741573</v>
      </c>
      <c r="G20" s="17" t="n">
        <f aca="false">IF(B20="","",MIN(D$11,H19-F20))</f>
        <v>0</v>
      </c>
      <c r="H20" s="17" t="n">
        <f aca="false">IF(B20="","",MAX(H19-F20-G20,0))</f>
        <v>22447.9105430552</v>
      </c>
    </row>
    <row r="21" customFormat="false" ht="15.75" hidden="false" customHeight="true" outlineLevel="0" collapsed="false">
      <c r="A21" s="2"/>
      <c r="B21" s="18" t="n">
        <f aca="false">IF(OR(B20="",H20&lt;=0),"",B20+1)</f>
        <v>8</v>
      </c>
      <c r="C21" s="19" t="n">
        <f aca="false">IF(B21="","",EDATE(D$10,B21-1))</f>
        <v>45870</v>
      </c>
      <c r="D21" s="20" t="n">
        <f aca="false">IF(B21="","",H$7)</f>
        <v>482.158423912907</v>
      </c>
      <c r="E21" s="20" t="n">
        <f aca="false">IF(B21="","",H20*(D$8/12))</f>
        <v>110.368893503355</v>
      </c>
      <c r="F21" s="20" t="n">
        <f aca="false">IF(B21="","",MIN(H20,D21-E21))</f>
        <v>371.789530409552</v>
      </c>
      <c r="G21" s="20" t="n">
        <f aca="false">IF(B21="","",MIN(D$11,H20-F21))</f>
        <v>0</v>
      </c>
      <c r="H21" s="20" t="n">
        <f aca="false">IF(B21="","",MAX(H20-F21-G21,0))</f>
        <v>22076.1210126457</v>
      </c>
    </row>
    <row r="22" customFormat="false" ht="15.75" hidden="false" customHeight="true" outlineLevel="0" collapsed="false">
      <c r="A22" s="2"/>
      <c r="B22" s="15" t="n">
        <f aca="false">IF(OR(B21="",H21&lt;=0),"",B21+1)</f>
        <v>9</v>
      </c>
      <c r="C22" s="16" t="n">
        <f aca="false">IF(B22="","",EDATE(D$10,B22-1))</f>
        <v>45901</v>
      </c>
      <c r="D22" s="17" t="n">
        <f aca="false">IF(B22="","",H$7)</f>
        <v>482.158423912907</v>
      </c>
      <c r="E22" s="17" t="n">
        <f aca="false">IF(B22="","",H21*(D$8/12))</f>
        <v>108.540928312174</v>
      </c>
      <c r="F22" s="17" t="n">
        <f aca="false">IF(B22="","",MIN(H21,D22-E22))</f>
        <v>373.617495600733</v>
      </c>
      <c r="G22" s="17" t="n">
        <f aca="false">IF(B22="","",MIN(D$11,H21-F22))</f>
        <v>0</v>
      </c>
      <c r="H22" s="17" t="n">
        <f aca="false">IF(B22="","",MAX(H21-F22-G22,0))</f>
        <v>21702.5035170449</v>
      </c>
    </row>
    <row r="23" customFormat="false" ht="15.75" hidden="false" customHeight="true" outlineLevel="0" collapsed="false">
      <c r="A23" s="2"/>
      <c r="B23" s="18" t="n">
        <f aca="false">IF(OR(B22="",H22&lt;=0),"",B22+1)</f>
        <v>10</v>
      </c>
      <c r="C23" s="19" t="n">
        <f aca="false">IF(B23="","",EDATE(D$10,B23-1))</f>
        <v>45931</v>
      </c>
      <c r="D23" s="20" t="n">
        <f aca="false">IF(B23="","",H$7)</f>
        <v>482.158423912907</v>
      </c>
      <c r="E23" s="20" t="n">
        <f aca="false">IF(B23="","",H22*(D$8/12))</f>
        <v>106.703975625471</v>
      </c>
      <c r="F23" s="20" t="n">
        <f aca="false">IF(B23="","",MIN(H22,D23-E23))</f>
        <v>375.454448287436</v>
      </c>
      <c r="G23" s="20" t="n">
        <f aca="false">IF(B23="","",MIN(D$11,H22-F23))</f>
        <v>0</v>
      </c>
      <c r="H23" s="20" t="n">
        <f aca="false">IF(B23="","",MAX(H22-F23-G23,0))</f>
        <v>21327.0490687575</v>
      </c>
    </row>
    <row r="24" customFormat="false" ht="15.75" hidden="false" customHeight="true" outlineLevel="0" collapsed="false">
      <c r="A24" s="2"/>
      <c r="B24" s="15" t="n">
        <f aca="false">IF(OR(B23="",H23&lt;=0),"",B23+1)</f>
        <v>11</v>
      </c>
      <c r="C24" s="16" t="n">
        <f aca="false">IF(B24="","",EDATE(D$10,B24-1))</f>
        <v>45962</v>
      </c>
      <c r="D24" s="17" t="n">
        <f aca="false">IF(B24="","",H$7)</f>
        <v>482.158423912907</v>
      </c>
      <c r="E24" s="17" t="n">
        <f aca="false">IF(B24="","",H23*(D$8/12))</f>
        <v>104.857991254724</v>
      </c>
      <c r="F24" s="17" t="n">
        <f aca="false">IF(B24="","",MIN(H23,D24-E24))</f>
        <v>377.300432658183</v>
      </c>
      <c r="G24" s="17" t="n">
        <f aca="false">IF(B24="","",MIN(D$11,H23-F24))</f>
        <v>0</v>
      </c>
      <c r="H24" s="17" t="n">
        <f aca="false">IF(B24="","",MAX(H23-F24-G24,0))</f>
        <v>20949.7486360993</v>
      </c>
    </row>
    <row r="25" customFormat="false" ht="15.75" hidden="false" customHeight="true" outlineLevel="0" collapsed="false">
      <c r="A25" s="2"/>
      <c r="B25" s="18" t="n">
        <f aca="false">IF(OR(B24="",H24&lt;=0),"",B24+1)</f>
        <v>12</v>
      </c>
      <c r="C25" s="19" t="n">
        <f aca="false">IF(B25="","",EDATE(D$10,B25-1))</f>
        <v>45992</v>
      </c>
      <c r="D25" s="20" t="n">
        <f aca="false">IF(B25="","",H$7)</f>
        <v>482.158423912907</v>
      </c>
      <c r="E25" s="20" t="n">
        <f aca="false">IF(B25="","",H24*(D$8/12))</f>
        <v>103.002930794155</v>
      </c>
      <c r="F25" s="20" t="n">
        <f aca="false">IF(B25="","",MIN(H24,D25-E25))</f>
        <v>379.155493118752</v>
      </c>
      <c r="G25" s="20" t="n">
        <f aca="false">IF(B25="","",MIN(D$11,H24-F25))</f>
        <v>0</v>
      </c>
      <c r="H25" s="20" t="n">
        <f aca="false">IF(B25="","",MAX(H24-F25-G25,0))</f>
        <v>20570.5931429806</v>
      </c>
    </row>
    <row r="26" customFormat="false" ht="15.75" hidden="false" customHeight="true" outlineLevel="0" collapsed="false">
      <c r="A26" s="2"/>
      <c r="B26" s="15" t="n">
        <f aca="false">IF(OR(B25="",H25&lt;=0),"",B25+1)</f>
        <v>13</v>
      </c>
      <c r="C26" s="16" t="n">
        <f aca="false">IF(B26="","",EDATE(D$10,B26-1))</f>
        <v>46023</v>
      </c>
      <c r="D26" s="17" t="n">
        <f aca="false">IF(B26="","",H$7)</f>
        <v>482.158423912907</v>
      </c>
      <c r="E26" s="17" t="n">
        <f aca="false">IF(B26="","",H25*(D$8/12))</f>
        <v>101.138749619654</v>
      </c>
      <c r="F26" s="17" t="n">
        <f aca="false">IF(B26="","",MIN(H25,D26-E26))</f>
        <v>381.019674293253</v>
      </c>
      <c r="G26" s="17" t="n">
        <f aca="false">IF(B26="","",MIN(D$11,H25-F26))</f>
        <v>0</v>
      </c>
      <c r="H26" s="17" t="n">
        <f aca="false">IF(B26="","",MAX(H25-F26-G26,0))</f>
        <v>20189.5734686873</v>
      </c>
    </row>
    <row r="27" customFormat="false" ht="15.75" hidden="false" customHeight="true" outlineLevel="0" collapsed="false">
      <c r="A27" s="2"/>
      <c r="B27" s="18" t="n">
        <f aca="false">IF(OR(B26="",H26&lt;=0),"",B26+1)</f>
        <v>14</v>
      </c>
      <c r="C27" s="19" t="n">
        <f aca="false">IF(B27="","",EDATE(D$10,B27-1))</f>
        <v>46054</v>
      </c>
      <c r="D27" s="20" t="n">
        <f aca="false">IF(B27="","",H$7)</f>
        <v>482.158423912907</v>
      </c>
      <c r="E27" s="20" t="n">
        <f aca="false">IF(B27="","",H26*(D$8/12))</f>
        <v>99.2654028877126</v>
      </c>
      <c r="F27" s="20" t="n">
        <f aca="false">IF(B27="","",MIN(H26,D27-E27))</f>
        <v>382.893021025195</v>
      </c>
      <c r="G27" s="20" t="n">
        <f aca="false">IF(B27="","",MIN(D$11,H26-F27))</f>
        <v>0</v>
      </c>
      <c r="H27" s="20" t="n">
        <f aca="false">IF(B27="","",MAX(H26-F27-G27,0))</f>
        <v>19806.6804476621</v>
      </c>
    </row>
    <row r="28" customFormat="false" ht="15.75" hidden="false" customHeight="true" outlineLevel="0" collapsed="false">
      <c r="A28" s="2"/>
      <c r="B28" s="15" t="n">
        <f aca="false">IF(OR(B27="",H27&lt;=0),"",B27+1)</f>
        <v>15</v>
      </c>
      <c r="C28" s="16" t="n">
        <f aca="false">IF(B28="","",EDATE(D$10,B28-1))</f>
        <v>46082</v>
      </c>
      <c r="D28" s="17" t="n">
        <f aca="false">IF(B28="","",H$7)</f>
        <v>482.158423912907</v>
      </c>
      <c r="E28" s="17" t="n">
        <f aca="false">IF(B28="","",H27*(D$8/12))</f>
        <v>97.3828455343387</v>
      </c>
      <c r="F28" s="17" t="n">
        <f aca="false">IF(B28="","",MIN(H27,D28-E28))</f>
        <v>384.775578378568</v>
      </c>
      <c r="G28" s="17" t="n">
        <f aca="false">IF(B28="","",MIN(D$11,H27-F28))</f>
        <v>0</v>
      </c>
      <c r="H28" s="17" t="n">
        <f aca="false">IF(B28="","",MAX(H27-F28-G28,0))</f>
        <v>19421.9048692835</v>
      </c>
    </row>
    <row r="29" customFormat="false" ht="15.75" hidden="false" customHeight="true" outlineLevel="0" collapsed="false">
      <c r="A29" s="2"/>
      <c r="B29" s="18" t="n">
        <f aca="false">IF(OR(B28="",H28&lt;=0),"",B28+1)</f>
        <v>16</v>
      </c>
      <c r="C29" s="19" t="n">
        <f aca="false">IF(B29="","",EDATE(D$10,B29-1))</f>
        <v>46113</v>
      </c>
      <c r="D29" s="20" t="n">
        <f aca="false">IF(B29="","",H$7)</f>
        <v>482.158423912907</v>
      </c>
      <c r="E29" s="20" t="n">
        <f aca="false">IF(B29="","",H28*(D$8/12))</f>
        <v>95.4910322739774</v>
      </c>
      <c r="F29" s="20" t="n">
        <f aca="false">IF(B29="","",MIN(H28,D29-E29))</f>
        <v>386.66739163893</v>
      </c>
      <c r="G29" s="20" t="n">
        <f aca="false">IF(B29="","",MIN(D$11,H28-F29))</f>
        <v>0</v>
      </c>
      <c r="H29" s="20" t="n">
        <f aca="false">IF(B29="","",MAX(H28-F29-G29,0))</f>
        <v>19035.2374776446</v>
      </c>
    </row>
    <row r="30" customFormat="false" ht="15.75" hidden="false" customHeight="true" outlineLevel="0" collapsed="false">
      <c r="A30" s="2"/>
      <c r="B30" s="15" t="n">
        <f aca="false">IF(OR(B29="",H29&lt;=0),"",B29+1)</f>
        <v>17</v>
      </c>
      <c r="C30" s="16" t="n">
        <f aca="false">IF(B30="","",EDATE(D$10,B30-1))</f>
        <v>46143</v>
      </c>
      <c r="D30" s="17" t="n">
        <f aca="false">IF(B30="","",H$7)</f>
        <v>482.158423912907</v>
      </c>
      <c r="E30" s="17" t="n">
        <f aca="false">IF(B30="","",H29*(D$8/12))</f>
        <v>93.5899175984193</v>
      </c>
      <c r="F30" s="17" t="n">
        <f aca="false">IF(B30="","",MIN(H29,D30-E30))</f>
        <v>388.568506314488</v>
      </c>
      <c r="G30" s="17" t="n">
        <f aca="false">IF(B30="","",MIN(D$11,H29-F30))</f>
        <v>0</v>
      </c>
      <c r="H30" s="17" t="n">
        <f aca="false">IF(B30="","",MAX(H29-F30-G30,0))</f>
        <v>18646.6689713301</v>
      </c>
    </row>
    <row r="31" customFormat="false" ht="15.75" hidden="false" customHeight="true" outlineLevel="0" collapsed="false">
      <c r="A31" s="2"/>
      <c r="B31" s="18" t="n">
        <f aca="false">IF(OR(B30="",H30&lt;=0),"",B30+1)</f>
        <v>18</v>
      </c>
      <c r="C31" s="19" t="n">
        <f aca="false">IF(B31="","",EDATE(D$10,B31-1))</f>
        <v>46174</v>
      </c>
      <c r="D31" s="20" t="n">
        <f aca="false">IF(B31="","",H$7)</f>
        <v>482.158423912907</v>
      </c>
      <c r="E31" s="20" t="n">
        <f aca="false">IF(B31="","",H30*(D$8/12))</f>
        <v>91.6794557757064</v>
      </c>
      <c r="F31" s="20" t="n">
        <f aca="false">IF(B31="","",MIN(H30,D31-E31))</f>
        <v>390.478968137201</v>
      </c>
      <c r="G31" s="20" t="n">
        <f aca="false">IF(B31="","",MIN(D$11,H30-F31))</f>
        <v>0</v>
      </c>
      <c r="H31" s="20" t="n">
        <f aca="false">IF(B31="","",MAX(H30-F31-G31,0))</f>
        <v>18256.1900031929</v>
      </c>
    </row>
    <row r="32" customFormat="false" ht="15.75" hidden="false" customHeight="true" outlineLevel="0" collapsed="false">
      <c r="A32" s="2"/>
      <c r="B32" s="15" t="n">
        <f aca="false">IF(OR(B31="",H31&lt;=0),"",B31+1)</f>
        <v>19</v>
      </c>
      <c r="C32" s="16" t="n">
        <f aca="false">IF(B32="","",EDATE(D$10,B32-1))</f>
        <v>46204</v>
      </c>
      <c r="D32" s="17" t="n">
        <f aca="false">IF(B32="","",H$7)</f>
        <v>482.158423912907</v>
      </c>
      <c r="E32" s="17" t="n">
        <f aca="false">IF(B32="","",H31*(D$8/12))</f>
        <v>89.7596008490318</v>
      </c>
      <c r="F32" s="17" t="n">
        <f aca="false">IF(B32="","",MIN(H31,D32-E32))</f>
        <v>392.398823063875</v>
      </c>
      <c r="G32" s="17" t="n">
        <f aca="false">IF(B32="","",MIN(D$11,H31-F32))</f>
        <v>0</v>
      </c>
      <c r="H32" s="17" t="n">
        <f aca="false">IF(B32="","",MAX(H31-F32-G32,0))</f>
        <v>17863.791180129</v>
      </c>
    </row>
    <row r="33" customFormat="false" ht="15.75" hidden="false" customHeight="true" outlineLevel="0" collapsed="false">
      <c r="A33" s="2"/>
      <c r="B33" s="18" t="n">
        <f aca="false">IF(OR(B32="",H32&lt;=0),"",B32+1)</f>
        <v>20</v>
      </c>
      <c r="C33" s="19" t="n">
        <f aca="false">IF(B33="","",EDATE(D$10,B33-1))</f>
        <v>46235</v>
      </c>
      <c r="D33" s="20" t="n">
        <f aca="false">IF(B33="","",H$7)</f>
        <v>482.158423912907</v>
      </c>
      <c r="E33" s="20" t="n">
        <f aca="false">IF(B33="","",H32*(D$8/12))</f>
        <v>87.8303066356345</v>
      </c>
      <c r="F33" s="20" t="n">
        <f aca="false">IF(B33="","",MIN(H32,D33-E33))</f>
        <v>394.328117277273</v>
      </c>
      <c r="G33" s="20" t="n">
        <f aca="false">IF(B33="","",MIN(D$11,H32-F33))</f>
        <v>0</v>
      </c>
      <c r="H33" s="20" t="n">
        <f aca="false">IF(B33="","",MAX(H32-F33-G33,0))</f>
        <v>17469.4630628518</v>
      </c>
    </row>
    <row r="34" customFormat="false" ht="15.75" hidden="false" customHeight="true" outlineLevel="0" collapsed="false">
      <c r="A34" s="2"/>
      <c r="B34" s="15" t="n">
        <f aca="false">IF(OR(B33="",H33&lt;=0),"",B33+1)</f>
        <v>21</v>
      </c>
      <c r="C34" s="16" t="n">
        <f aca="false">IF(B34="","",EDATE(D$10,B34-1))</f>
        <v>46266</v>
      </c>
      <c r="D34" s="17" t="n">
        <f aca="false">IF(B34="","",H$7)</f>
        <v>482.158423912907</v>
      </c>
      <c r="E34" s="17" t="n">
        <f aca="false">IF(B34="","",H33*(D$8/12))</f>
        <v>85.8915267256879</v>
      </c>
      <c r="F34" s="17" t="n">
        <f aca="false">IF(B34="","",MIN(H33,D34-E34))</f>
        <v>396.266897187219</v>
      </c>
      <c r="G34" s="17" t="n">
        <f aca="false">IF(B34="","",MIN(D$11,H33-F34))</f>
        <v>0</v>
      </c>
      <c r="H34" s="17" t="n">
        <f aca="false">IF(B34="","",MAX(H33-F34-G34,0))</f>
        <v>17073.1961656646</v>
      </c>
    </row>
    <row r="35" customFormat="false" ht="15.75" hidden="false" customHeight="true" outlineLevel="0" collapsed="false">
      <c r="A35" s="2"/>
      <c r="B35" s="18" t="n">
        <f aca="false">IF(OR(B34="",H34&lt;=0),"",B34+1)</f>
        <v>22</v>
      </c>
      <c r="C35" s="19" t="n">
        <f aca="false">IF(B35="","",EDATE(D$10,B35-1))</f>
        <v>46296</v>
      </c>
      <c r="D35" s="20" t="n">
        <f aca="false">IF(B35="","",H$7)</f>
        <v>482.158423912907</v>
      </c>
      <c r="E35" s="20" t="n">
        <f aca="false">IF(B35="","",H34*(D$8/12))</f>
        <v>83.943214481184</v>
      </c>
      <c r="F35" s="20" t="n">
        <f aca="false">IF(B35="","",MIN(H34,D35-E35))</f>
        <v>398.215209431723</v>
      </c>
      <c r="G35" s="20" t="n">
        <f aca="false">IF(B35="","",MIN(D$11,H34-F35))</f>
        <v>0</v>
      </c>
      <c r="H35" s="20" t="n">
        <f aca="false">IF(B35="","",MAX(H34-F35-G35,0))</f>
        <v>16674.9809562328</v>
      </c>
    </row>
    <row r="36" customFormat="false" ht="15.75" hidden="false" customHeight="true" outlineLevel="0" collapsed="false">
      <c r="A36" s="2"/>
      <c r="B36" s="15" t="n">
        <f aca="false">IF(OR(B35="",H35&lt;=0),"",B35+1)</f>
        <v>23</v>
      </c>
      <c r="C36" s="16" t="n">
        <f aca="false">IF(B36="","",EDATE(D$10,B36-1))</f>
        <v>46327</v>
      </c>
      <c r="D36" s="17" t="n">
        <f aca="false">IF(B36="","",H$7)</f>
        <v>482.158423912907</v>
      </c>
      <c r="E36" s="17" t="n">
        <f aca="false">IF(B36="","",H35*(D$8/12))</f>
        <v>81.9853230348114</v>
      </c>
      <c r="F36" s="17" t="n">
        <f aca="false">IF(B36="","",MIN(H35,D36-E36))</f>
        <v>400.173100878096</v>
      </c>
      <c r="G36" s="17" t="n">
        <f aca="false">IF(B36="","",MIN(D$11,H35-F36))</f>
        <v>0</v>
      </c>
      <c r="H36" s="17" t="n">
        <f aca="false">IF(B36="","",MAX(H35-F36-G36,0))</f>
        <v>16274.8078553547</v>
      </c>
    </row>
    <row r="37" customFormat="false" ht="15.75" hidden="false" customHeight="true" outlineLevel="0" collapsed="false">
      <c r="A37" s="2"/>
      <c r="B37" s="18" t="n">
        <f aca="false">IF(OR(B36="",H36&lt;=0),"",B36+1)</f>
        <v>24</v>
      </c>
      <c r="C37" s="19" t="n">
        <f aca="false">IF(B37="","",EDATE(D$10,B37-1))</f>
        <v>46357</v>
      </c>
      <c r="D37" s="20" t="n">
        <f aca="false">IF(B37="","",H$7)</f>
        <v>482.158423912907</v>
      </c>
      <c r="E37" s="20" t="n">
        <f aca="false">IF(B37="","",H36*(D$8/12))</f>
        <v>80.0178052888274</v>
      </c>
      <c r="F37" s="20" t="n">
        <f aca="false">IF(B37="","",MIN(H36,D37-E37))</f>
        <v>402.14061862408</v>
      </c>
      <c r="G37" s="20" t="n">
        <f aca="false">IF(B37="","",MIN(D$11,H36-F37))</f>
        <v>0</v>
      </c>
      <c r="H37" s="20" t="n">
        <f aca="false">IF(B37="","",MAX(H36-F37-G37,0))</f>
        <v>15872.6672367307</v>
      </c>
    </row>
    <row r="38" customFormat="false" ht="15.75" hidden="false" customHeight="true" outlineLevel="0" collapsed="false">
      <c r="A38" s="2"/>
      <c r="B38" s="15" t="n">
        <f aca="false">IF(OR(B37="",H37&lt;=0),"",B37+1)</f>
        <v>25</v>
      </c>
      <c r="C38" s="16" t="n">
        <f aca="false">IF(B38="","",EDATE(D$10,B38-1))</f>
        <v>46388</v>
      </c>
      <c r="D38" s="17" t="n">
        <f aca="false">IF(B38="","",H$7)</f>
        <v>482.158423912907</v>
      </c>
      <c r="E38" s="17" t="n">
        <f aca="false">IF(B38="","",H37*(D$8/12))</f>
        <v>78.0406139139257</v>
      </c>
      <c r="F38" s="17" t="n">
        <f aca="false">IF(B38="","",MIN(H37,D38-E38))</f>
        <v>404.117809998981</v>
      </c>
      <c r="G38" s="17" t="n">
        <f aca="false">IF(B38="","",MIN(D$11,H37-F38))</f>
        <v>0</v>
      </c>
      <c r="H38" s="17" t="n">
        <f aca="false">IF(B38="","",MAX(H37-F38-G38,0))</f>
        <v>15468.5494267317</v>
      </c>
    </row>
    <row r="39" customFormat="false" ht="15.75" hidden="false" customHeight="true" outlineLevel="0" collapsed="false">
      <c r="A39" s="2"/>
      <c r="B39" s="18" t="n">
        <f aca="false">IF(OR(B38="",H38&lt;=0),"",B38+1)</f>
        <v>26</v>
      </c>
      <c r="C39" s="19" t="n">
        <f aca="false">IF(B39="","",EDATE(D$10,B39-1))</f>
        <v>46419</v>
      </c>
      <c r="D39" s="20" t="n">
        <f aca="false">IF(B39="","",H$7)</f>
        <v>482.158423912907</v>
      </c>
      <c r="E39" s="20" t="n">
        <f aca="false">IF(B39="","",H38*(D$8/12))</f>
        <v>76.0537013480974</v>
      </c>
      <c r="F39" s="20" t="n">
        <f aca="false">IF(B39="","",MIN(H38,D39-E39))</f>
        <v>406.10472256481</v>
      </c>
      <c r="G39" s="20" t="n">
        <f aca="false">IF(B39="","",MIN(D$11,H38-F39))</f>
        <v>0</v>
      </c>
      <c r="H39" s="20" t="n">
        <f aca="false">IF(B39="","",MAX(H38-F39-G39,0))</f>
        <v>15062.4447041669</v>
      </c>
    </row>
    <row r="40" customFormat="false" ht="15.75" hidden="false" customHeight="true" outlineLevel="0" collapsed="false">
      <c r="A40" s="2"/>
      <c r="B40" s="15" t="n">
        <f aca="false">IF(OR(B39="",H39&lt;=0),"",B39+1)</f>
        <v>27</v>
      </c>
      <c r="C40" s="16" t="n">
        <f aca="false">IF(B40="","",EDATE(D$10,B40-1))</f>
        <v>46447</v>
      </c>
      <c r="D40" s="17" t="n">
        <f aca="false">IF(B40="","",H$7)</f>
        <v>482.158423912907</v>
      </c>
      <c r="E40" s="17" t="n">
        <f aca="false">IF(B40="","",H39*(D$8/12))</f>
        <v>74.0570197954871</v>
      </c>
      <c r="F40" s="17" t="n">
        <f aca="false">IF(B40="","",MIN(H39,D40-E40))</f>
        <v>408.10140411742</v>
      </c>
      <c r="G40" s="17" t="n">
        <f aca="false">IF(B40="","",MIN(D$11,H39-F40))</f>
        <v>0</v>
      </c>
      <c r="H40" s="17" t="n">
        <f aca="false">IF(B40="","",MAX(H39-F40-G40,0))</f>
        <v>14654.3433000494</v>
      </c>
    </row>
    <row r="41" customFormat="false" ht="15.75" hidden="false" customHeight="true" outlineLevel="0" collapsed="false">
      <c r="A41" s="2"/>
      <c r="B41" s="18" t="n">
        <f aca="false">IF(OR(B40="",H40&lt;=0),"",B40+1)</f>
        <v>28</v>
      </c>
      <c r="C41" s="19" t="n">
        <f aca="false">IF(B41="","",EDATE(D$10,B41-1))</f>
        <v>46478</v>
      </c>
      <c r="D41" s="20" t="n">
        <f aca="false">IF(B41="","",H$7)</f>
        <v>482.158423912907</v>
      </c>
      <c r="E41" s="20" t="n">
        <f aca="false">IF(B41="","",H40*(D$8/12))</f>
        <v>72.0505212252431</v>
      </c>
      <c r="F41" s="20" t="n">
        <f aca="false">IF(B41="","",MIN(H40,D41-E41))</f>
        <v>410.107902687664</v>
      </c>
      <c r="G41" s="20" t="n">
        <f aca="false">IF(B41="","",MIN(D$11,H40-F41))</f>
        <v>0</v>
      </c>
      <c r="H41" s="20" t="n">
        <f aca="false">IF(B41="","",MAX(H40-F41-G41,0))</f>
        <v>14244.2353973618</v>
      </c>
    </row>
    <row r="42" customFormat="false" ht="15.75" hidden="false" customHeight="true" outlineLevel="0" collapsed="false">
      <c r="A42" s="2"/>
      <c r="B42" s="15" t="n">
        <f aca="false">IF(OR(B41="",H41&lt;=0),"",B41+1)</f>
        <v>29</v>
      </c>
      <c r="C42" s="16" t="n">
        <f aca="false">IF(B42="","",EDATE(D$10,B42-1))</f>
        <v>46508</v>
      </c>
      <c r="D42" s="17" t="n">
        <f aca="false">IF(B42="","",H$7)</f>
        <v>482.158423912907</v>
      </c>
      <c r="E42" s="17" t="n">
        <f aca="false">IF(B42="","",H41*(D$8/12))</f>
        <v>70.0341573703621</v>
      </c>
      <c r="F42" s="17" t="n">
        <f aca="false">IF(B42="","",MIN(H41,D42-E42))</f>
        <v>412.124266542545</v>
      </c>
      <c r="G42" s="17" t="n">
        <f aca="false">IF(B42="","",MIN(D$11,H41-F42))</f>
        <v>0</v>
      </c>
      <c r="H42" s="17" t="n">
        <f aca="false">IF(B42="","",MAX(H41-F42-G42,0))</f>
        <v>13832.1111308192</v>
      </c>
    </row>
    <row r="43" customFormat="false" ht="15.75" hidden="false" customHeight="true" outlineLevel="0" collapsed="false">
      <c r="A43" s="2"/>
      <c r="B43" s="18" t="n">
        <f aca="false">IF(OR(B42="",H42&lt;=0),"",B42+1)</f>
        <v>30</v>
      </c>
      <c r="C43" s="19" t="n">
        <f aca="false">IF(B43="","",EDATE(D$10,B43-1))</f>
        <v>46539</v>
      </c>
      <c r="D43" s="20" t="n">
        <f aca="false">IF(B43="","",H$7)</f>
        <v>482.158423912907</v>
      </c>
      <c r="E43" s="20" t="n">
        <f aca="false">IF(B43="","",H42*(D$8/12))</f>
        <v>68.0078797265279</v>
      </c>
      <c r="F43" s="20" t="n">
        <f aca="false">IF(B43="","",MIN(H42,D43-E43))</f>
        <v>414.150544186379</v>
      </c>
      <c r="G43" s="20" t="n">
        <f aca="false">IF(B43="","",MIN(D$11,H42-F43))</f>
        <v>0</v>
      </c>
      <c r="H43" s="20" t="n">
        <f aca="false">IF(B43="","",MAX(H42-F43-G43,0))</f>
        <v>13417.9605866329</v>
      </c>
    </row>
    <row r="44" customFormat="false" ht="15.75" hidden="false" customHeight="true" outlineLevel="0" collapsed="false">
      <c r="A44" s="2"/>
      <c r="B44" s="15" t="n">
        <f aca="false">IF(OR(B43="",H43&lt;=0),"",B43+1)</f>
        <v>31</v>
      </c>
      <c r="C44" s="16" t="n">
        <f aca="false">IF(B44="","",EDATE(D$10,B44-1))</f>
        <v>46569</v>
      </c>
      <c r="D44" s="17" t="n">
        <f aca="false">IF(B44="","",H$7)</f>
        <v>482.158423912907</v>
      </c>
      <c r="E44" s="17" t="n">
        <f aca="false">IF(B44="","",H43*(D$8/12))</f>
        <v>65.9716395509449</v>
      </c>
      <c r="F44" s="17" t="n">
        <f aca="false">IF(B44="","",MIN(H43,D44-E44))</f>
        <v>416.186784361962</v>
      </c>
      <c r="G44" s="17" t="n">
        <f aca="false">IF(B44="","",MIN(D$11,H43-F44))</f>
        <v>0</v>
      </c>
      <c r="H44" s="17" t="n">
        <f aca="false">IF(B44="","",MAX(H43-F44-G44,0))</f>
        <v>13001.7738022709</v>
      </c>
    </row>
    <row r="45" customFormat="false" ht="15.75" hidden="false" customHeight="true" outlineLevel="0" collapsed="false">
      <c r="A45" s="2"/>
      <c r="B45" s="18" t="n">
        <f aca="false">IF(OR(B44="",H44&lt;=0),"",B44+1)</f>
        <v>32</v>
      </c>
      <c r="C45" s="19" t="n">
        <f aca="false">IF(B45="","",EDATE(D$10,B45-1))</f>
        <v>46600</v>
      </c>
      <c r="D45" s="20" t="n">
        <f aca="false">IF(B45="","",H$7)</f>
        <v>482.158423912907</v>
      </c>
      <c r="E45" s="20" t="n">
        <f aca="false">IF(B45="","",H44*(D$8/12))</f>
        <v>63.9253878611652</v>
      </c>
      <c r="F45" s="20" t="n">
        <f aca="false">IF(B45="","",MIN(H44,D45-E45))</f>
        <v>418.233036051742</v>
      </c>
      <c r="G45" s="20" t="n">
        <f aca="false">IF(B45="","",MIN(D$11,H44-F45))</f>
        <v>0</v>
      </c>
      <c r="H45" s="20" t="n">
        <f aca="false">IF(B45="","",MAX(H44-F45-G45,0))</f>
        <v>12583.5407662191</v>
      </c>
    </row>
    <row r="46" customFormat="false" ht="15.75" hidden="false" customHeight="true" outlineLevel="0" collapsed="false">
      <c r="A46" s="2"/>
      <c r="B46" s="15" t="n">
        <f aca="false">IF(OR(B45="",H45&lt;=0),"",B45+1)</f>
        <v>33</v>
      </c>
      <c r="C46" s="16" t="n">
        <f aca="false">IF(B46="","",EDATE(D$10,B46-1))</f>
        <v>46631</v>
      </c>
      <c r="D46" s="17" t="n">
        <f aca="false">IF(B46="","",H$7)</f>
        <v>482.158423912907</v>
      </c>
      <c r="E46" s="17" t="n">
        <f aca="false">IF(B46="","",H45*(D$8/12))</f>
        <v>61.8690754339108</v>
      </c>
      <c r="F46" s="17" t="n">
        <f aca="false">IF(B46="","",MIN(H45,D46-E46))</f>
        <v>420.289348478996</v>
      </c>
      <c r="G46" s="17" t="n">
        <f aca="false">IF(B46="","",MIN(D$11,H45-F46))</f>
        <v>0</v>
      </c>
      <c r="H46" s="17" t="n">
        <f aca="false">IF(B46="","",MAX(H45-F46-G46,0))</f>
        <v>12163.2514177402</v>
      </c>
    </row>
    <row r="47" customFormat="false" ht="15.75" hidden="false" customHeight="true" outlineLevel="0" collapsed="false">
      <c r="A47" s="2"/>
      <c r="B47" s="18" t="n">
        <f aca="false">IF(OR(B46="",H46&lt;=0),"",B46+1)</f>
        <v>34</v>
      </c>
      <c r="C47" s="19" t="n">
        <f aca="false">IF(B47="","",EDATE(D$10,B47-1))</f>
        <v>46661</v>
      </c>
      <c r="D47" s="20" t="n">
        <f aca="false">IF(B47="","",H$7)</f>
        <v>482.158423912907</v>
      </c>
      <c r="E47" s="20" t="n">
        <f aca="false">IF(B47="","",H46*(D$8/12))</f>
        <v>59.8026528038891</v>
      </c>
      <c r="F47" s="20" t="n">
        <f aca="false">IF(B47="","",MIN(H46,D47-E47))</f>
        <v>422.355771109018</v>
      </c>
      <c r="G47" s="20" t="n">
        <f aca="false">IF(B47="","",MIN(D$11,H46-F47))</f>
        <v>0</v>
      </c>
      <c r="H47" s="20" t="n">
        <f aca="false">IF(B47="","",MAX(H46-F47-G47,0))</f>
        <v>11740.8956466311</v>
      </c>
    </row>
    <row r="48" customFormat="false" ht="15.75" hidden="false" customHeight="true" outlineLevel="0" collapsed="false">
      <c r="A48" s="2"/>
      <c r="B48" s="15" t="n">
        <f aca="false">IF(OR(B47="",H47&lt;=0),"",B47+1)</f>
        <v>35</v>
      </c>
      <c r="C48" s="16" t="n">
        <f aca="false">IF(B48="","",EDATE(D$10,B48-1))</f>
        <v>46692</v>
      </c>
      <c r="D48" s="17" t="n">
        <f aca="false">IF(B48="","",H$7)</f>
        <v>482.158423912907</v>
      </c>
      <c r="E48" s="17" t="n">
        <f aca="false">IF(B48="","",H47*(D$8/12))</f>
        <v>57.7260702626031</v>
      </c>
      <c r="F48" s="17" t="n">
        <f aca="false">IF(B48="","",MIN(H47,D48-E48))</f>
        <v>424.432353650304</v>
      </c>
      <c r="G48" s="17" t="n">
        <f aca="false">IF(B48="","",MIN(D$11,H47-F48))</f>
        <v>0</v>
      </c>
      <c r="H48" s="17" t="n">
        <f aca="false">IF(B48="","",MAX(H47-F48-G48,0))</f>
        <v>11316.4632929808</v>
      </c>
    </row>
    <row r="49" customFormat="false" ht="15.75" hidden="false" customHeight="true" outlineLevel="0" collapsed="false">
      <c r="A49" s="2"/>
      <c r="B49" s="18" t="n">
        <f aca="false">IF(OR(B48="",H48&lt;=0),"",B48+1)</f>
        <v>36</v>
      </c>
      <c r="C49" s="19" t="n">
        <f aca="false">IF(B49="","",EDATE(D$10,B49-1))</f>
        <v>46722</v>
      </c>
      <c r="D49" s="20" t="n">
        <f aca="false">IF(B49="","",H$7)</f>
        <v>482.158423912907</v>
      </c>
      <c r="E49" s="20" t="n">
        <f aca="false">IF(B49="","",H48*(D$8/12))</f>
        <v>55.6392778571558</v>
      </c>
      <c r="F49" s="20" t="n">
        <f aca="false">IF(B49="","",MIN(H48,D49-E49))</f>
        <v>426.519146055751</v>
      </c>
      <c r="G49" s="20" t="n">
        <f aca="false">IF(B49="","",MIN(D$11,H48-F49))</f>
        <v>0</v>
      </c>
      <c r="H49" s="20" t="n">
        <f aca="false">IF(B49="","",MAX(H48-F49-G49,0))</f>
        <v>10889.9441469251</v>
      </c>
    </row>
    <row r="50" customFormat="false" ht="15.75" hidden="false" customHeight="true" outlineLevel="0" collapsed="false">
      <c r="A50" s="2"/>
      <c r="B50" s="15" t="n">
        <f aca="false">IF(OR(B49="",H49&lt;=0),"",B49+1)</f>
        <v>37</v>
      </c>
      <c r="C50" s="16" t="n">
        <f aca="false">IF(B50="","",EDATE(D$10,B50-1))</f>
        <v>46753</v>
      </c>
      <c r="D50" s="17" t="n">
        <f aca="false">IF(B50="","",H$7)</f>
        <v>482.158423912907</v>
      </c>
      <c r="E50" s="17" t="n">
        <f aca="false">IF(B50="","",H49*(D$8/12))</f>
        <v>53.5422253890483</v>
      </c>
      <c r="F50" s="17" t="n">
        <f aca="false">IF(B50="","",MIN(H49,D50-E50))</f>
        <v>428.616198523859</v>
      </c>
      <c r="G50" s="17" t="n">
        <f aca="false">IF(B50="","",MIN(D$11,H49-F50))</f>
        <v>0</v>
      </c>
      <c r="H50" s="17" t="n">
        <f aca="false">IF(B50="","",MAX(H49-F50-G50,0))</f>
        <v>10461.3279484012</v>
      </c>
    </row>
    <row r="51" customFormat="false" ht="15.75" hidden="false" customHeight="true" outlineLevel="0" collapsed="false">
      <c r="A51" s="2"/>
      <c r="B51" s="18" t="n">
        <f aca="false">IF(OR(B50="",H50&lt;=0),"",B50+1)</f>
        <v>38</v>
      </c>
      <c r="C51" s="19" t="n">
        <f aca="false">IF(B51="","",EDATE(D$10,B51-1))</f>
        <v>46784</v>
      </c>
      <c r="D51" s="20" t="n">
        <f aca="false">IF(B51="","",H$7)</f>
        <v>482.158423912907</v>
      </c>
      <c r="E51" s="20" t="n">
        <f aca="false">IF(B51="","",H50*(D$8/12))</f>
        <v>51.4348624129727</v>
      </c>
      <c r="F51" s="20" t="n">
        <f aca="false">IF(B51="","",MIN(H50,D51-E51))</f>
        <v>430.723561499934</v>
      </c>
      <c r="G51" s="20" t="n">
        <f aca="false">IF(B51="","",MIN(D$11,H50-F51))</f>
        <v>0</v>
      </c>
      <c r="H51" s="20" t="n">
        <f aca="false">IF(B51="","",MAX(H50-F51-G51,0))</f>
        <v>10030.6043869013</v>
      </c>
    </row>
    <row r="52" customFormat="false" ht="15.75" hidden="false" customHeight="true" outlineLevel="0" collapsed="false">
      <c r="A52" s="2"/>
      <c r="B52" s="15" t="n">
        <f aca="false">IF(OR(B51="",H51&lt;=0),"",B51+1)</f>
        <v>39</v>
      </c>
      <c r="C52" s="16" t="n">
        <f aca="false">IF(B52="","",EDATE(D$10,B52-1))</f>
        <v>46813</v>
      </c>
      <c r="D52" s="17" t="n">
        <f aca="false">IF(B52="","",H$7)</f>
        <v>482.158423912907</v>
      </c>
      <c r="E52" s="17" t="n">
        <f aca="false">IF(B52="","",H51*(D$8/12))</f>
        <v>49.317138235598</v>
      </c>
      <c r="F52" s="17" t="n">
        <f aca="false">IF(B52="","",MIN(H51,D52-E52))</f>
        <v>432.841285677309</v>
      </c>
      <c r="G52" s="17" t="n">
        <f aca="false">IF(B52="","",MIN(D$11,H51-F52))</f>
        <v>0</v>
      </c>
      <c r="H52" s="17" t="n">
        <f aca="false">IF(B52="","",MAX(H51-F52-G52,0))</f>
        <v>9597.76310122398</v>
      </c>
    </row>
    <row r="53" customFormat="false" ht="15.75" hidden="false" customHeight="true" outlineLevel="0" collapsed="false">
      <c r="A53" s="2"/>
      <c r="B53" s="18" t="n">
        <f aca="false">IF(OR(B52="",H52&lt;=0),"",B52+1)</f>
        <v>40</v>
      </c>
      <c r="C53" s="19" t="n">
        <f aca="false">IF(B53="","",EDATE(D$10,B53-1))</f>
        <v>46844</v>
      </c>
      <c r="D53" s="20" t="n">
        <f aca="false">IF(B53="","",H$7)</f>
        <v>482.158423912907</v>
      </c>
      <c r="E53" s="20" t="n">
        <f aca="false">IF(B53="","",H52*(D$8/12))</f>
        <v>47.1890019143512</v>
      </c>
      <c r="F53" s="20" t="n">
        <f aca="false">IF(B53="","",MIN(H52,D53-E53))</f>
        <v>434.969421998556</v>
      </c>
      <c r="G53" s="20" t="n">
        <f aca="false">IF(B53="","",MIN(D$11,H52-F53))</f>
        <v>0</v>
      </c>
      <c r="H53" s="20" t="n">
        <f aca="false">IF(B53="","",MAX(H52-F53-G53,0))</f>
        <v>9162.79367922542</v>
      </c>
    </row>
    <row r="54" customFormat="false" ht="15.75" hidden="false" customHeight="true" outlineLevel="0" collapsed="false">
      <c r="A54" s="2"/>
      <c r="B54" s="15" t="n">
        <f aca="false">IF(OR(B53="",H53&lt;=0),"",B53+1)</f>
        <v>41</v>
      </c>
      <c r="C54" s="16" t="n">
        <f aca="false">IF(B54="","",EDATE(D$10,B54-1))</f>
        <v>46874</v>
      </c>
      <c r="D54" s="17" t="n">
        <f aca="false">IF(B54="","",H$7)</f>
        <v>482.158423912907</v>
      </c>
      <c r="E54" s="17" t="n">
        <f aca="false">IF(B54="","",H53*(D$8/12))</f>
        <v>45.0504022561917</v>
      </c>
      <c r="F54" s="17" t="n">
        <f aca="false">IF(B54="","",MIN(H53,D54-E54))</f>
        <v>437.108021656715</v>
      </c>
      <c r="G54" s="17" t="n">
        <f aca="false">IF(B54="","",MIN(D$11,H53-F54))</f>
        <v>0</v>
      </c>
      <c r="H54" s="17" t="n">
        <f aca="false">IF(B54="","",MAX(H53-F54-G54,0))</f>
        <v>8725.68565756871</v>
      </c>
    </row>
    <row r="55" customFormat="false" ht="15.75" hidden="false" customHeight="true" outlineLevel="0" collapsed="false">
      <c r="A55" s="2"/>
      <c r="B55" s="18" t="n">
        <f aca="false">IF(OR(B54="",H54&lt;=0),"",B54+1)</f>
        <v>42</v>
      </c>
      <c r="C55" s="19" t="n">
        <f aca="false">IF(B55="","",EDATE(D$10,B55-1))</f>
        <v>46905</v>
      </c>
      <c r="D55" s="20" t="n">
        <f aca="false">IF(B55="","",H$7)</f>
        <v>482.158423912907</v>
      </c>
      <c r="E55" s="20" t="n">
        <f aca="false">IF(B55="","",H54*(D$8/12))</f>
        <v>42.9012878163795</v>
      </c>
      <c r="F55" s="20" t="n">
        <f aca="false">IF(B55="","",MIN(H54,D55-E55))</f>
        <v>439.257136096528</v>
      </c>
      <c r="G55" s="20" t="n">
        <f aca="false">IF(B55="","",MIN(D$11,H54-F55))</f>
        <v>0</v>
      </c>
      <c r="H55" s="20" t="n">
        <f aca="false">IF(B55="","",MAX(H54-F55-G55,0))</f>
        <v>8286.42852147218</v>
      </c>
    </row>
    <row r="56" customFormat="false" ht="15.75" hidden="false" customHeight="true" outlineLevel="0" collapsed="false">
      <c r="A56" s="2"/>
      <c r="B56" s="15" t="n">
        <f aca="false">IF(OR(B55="",H55&lt;=0),"",B55+1)</f>
        <v>43</v>
      </c>
      <c r="C56" s="16" t="n">
        <f aca="false">IF(B56="","",EDATE(D$10,B56-1))</f>
        <v>46935</v>
      </c>
      <c r="D56" s="17" t="n">
        <f aca="false">IF(B56="","",H$7)</f>
        <v>482.158423912907</v>
      </c>
      <c r="E56" s="17" t="n">
        <f aca="false">IF(B56="","",H55*(D$8/12))</f>
        <v>40.7416068972382</v>
      </c>
      <c r="F56" s="17" t="n">
        <f aca="false">IF(B56="","",MIN(H55,D56-E56))</f>
        <v>441.416817015669</v>
      </c>
      <c r="G56" s="17" t="n">
        <f aca="false">IF(B56="","",MIN(D$11,H55-F56))</f>
        <v>0</v>
      </c>
      <c r="H56" s="17" t="n">
        <f aca="false">IF(B56="","",MAX(H55-F56-G56,0))</f>
        <v>7845.01170445651</v>
      </c>
    </row>
    <row r="57" customFormat="false" ht="15.75" hidden="false" customHeight="true" outlineLevel="0" collapsed="false">
      <c r="A57" s="2"/>
      <c r="B57" s="18" t="n">
        <f aca="false">IF(OR(B56="",H56&lt;=0),"",B56+1)</f>
        <v>44</v>
      </c>
      <c r="C57" s="19" t="n">
        <f aca="false">IF(B57="","",EDATE(D$10,B57-1))</f>
        <v>46966</v>
      </c>
      <c r="D57" s="20" t="n">
        <f aca="false">IF(B57="","",H$7)</f>
        <v>482.158423912907</v>
      </c>
      <c r="E57" s="20" t="n">
        <f aca="false">IF(B57="","",H56*(D$8/12))</f>
        <v>38.5713075469112</v>
      </c>
      <c r="F57" s="20" t="n">
        <f aca="false">IF(B57="","",MIN(H56,D57-E57))</f>
        <v>443.587116365996</v>
      </c>
      <c r="G57" s="20" t="n">
        <f aca="false">IF(B57="","",MIN(D$11,H56-F57))</f>
        <v>0</v>
      </c>
      <c r="H57" s="20" t="n">
        <f aca="false">IF(B57="","",MAX(H56-F57-G57,0))</f>
        <v>7401.42458809051</v>
      </c>
    </row>
    <row r="58" customFormat="false" ht="15.75" hidden="false" customHeight="true" outlineLevel="0" collapsed="false">
      <c r="A58" s="2"/>
      <c r="B58" s="15" t="n">
        <f aca="false">IF(OR(B57="",H57&lt;=0),"",B57+1)</f>
        <v>45</v>
      </c>
      <c r="C58" s="16" t="n">
        <f aca="false">IF(B58="","",EDATE(D$10,B58-1))</f>
        <v>46997</v>
      </c>
      <c r="D58" s="17" t="n">
        <f aca="false">IF(B58="","",H$7)</f>
        <v>482.158423912907</v>
      </c>
      <c r="E58" s="17" t="n">
        <f aca="false">IF(B58="","",H57*(D$8/12))</f>
        <v>36.3903375581117</v>
      </c>
      <c r="F58" s="17" t="n">
        <f aca="false">IF(B58="","",MIN(H57,D58-E58))</f>
        <v>445.768086354795</v>
      </c>
      <c r="G58" s="17" t="n">
        <f aca="false">IF(B58="","",MIN(D$11,H57-F58))</f>
        <v>0</v>
      </c>
      <c r="H58" s="17" t="n">
        <f aca="false">IF(B58="","",MAX(H57-F58-G58,0))</f>
        <v>6955.65650173572</v>
      </c>
    </row>
    <row r="59" customFormat="false" ht="15.75" hidden="false" customHeight="true" outlineLevel="0" collapsed="false">
      <c r="A59" s="2"/>
      <c r="B59" s="18" t="n">
        <f aca="false">IF(OR(B58="",H58&lt;=0),"",B58+1)</f>
        <v>46</v>
      </c>
      <c r="C59" s="19" t="n">
        <f aca="false">IF(B59="","",EDATE(D$10,B59-1))</f>
        <v>47027</v>
      </c>
      <c r="D59" s="20" t="n">
        <f aca="false">IF(B59="","",H$7)</f>
        <v>482.158423912907</v>
      </c>
      <c r="E59" s="20" t="n">
        <f aca="false">IF(B59="","",H58*(D$8/12))</f>
        <v>34.1986444668673</v>
      </c>
      <c r="F59" s="20" t="n">
        <f aca="false">IF(B59="","",MIN(H58,D59-E59))</f>
        <v>447.95977944604</v>
      </c>
      <c r="G59" s="20" t="n">
        <f aca="false">IF(B59="","",MIN(D$11,H58-F59))</f>
        <v>0</v>
      </c>
      <c r="H59" s="20" t="n">
        <f aca="false">IF(B59="","",MAX(H58-F59-G59,0))</f>
        <v>6507.69672228968</v>
      </c>
    </row>
    <row r="60" customFormat="false" ht="15.75" hidden="false" customHeight="true" outlineLevel="0" collapsed="false">
      <c r="A60" s="2"/>
      <c r="B60" s="15" t="n">
        <f aca="false">IF(OR(B59="",H59&lt;=0),"",B59+1)</f>
        <v>47</v>
      </c>
      <c r="C60" s="16" t="n">
        <f aca="false">IF(B60="","",EDATE(D$10,B60-1))</f>
        <v>47058</v>
      </c>
      <c r="D60" s="17" t="n">
        <f aca="false">IF(B60="","",H$7)</f>
        <v>482.158423912907</v>
      </c>
      <c r="E60" s="17" t="n">
        <f aca="false">IF(B60="","",H59*(D$8/12))</f>
        <v>31.9961755512576</v>
      </c>
      <c r="F60" s="17" t="n">
        <f aca="false">IF(B60="","",MIN(H59,D60-E60))</f>
        <v>450.16224836165</v>
      </c>
      <c r="G60" s="17" t="n">
        <f aca="false">IF(B60="","",MIN(D$11,H59-F60))</f>
        <v>0</v>
      </c>
      <c r="H60" s="17" t="n">
        <f aca="false">IF(B60="","",MAX(H59-F60-G60,0))</f>
        <v>6057.53447392803</v>
      </c>
    </row>
    <row r="61" customFormat="false" ht="15.75" hidden="false" customHeight="true" outlineLevel="0" collapsed="false">
      <c r="A61" s="2"/>
      <c r="B61" s="18" t="n">
        <f aca="false">IF(OR(B60="",H60&lt;=0),"",B60+1)</f>
        <v>48</v>
      </c>
      <c r="C61" s="19" t="n">
        <f aca="false">IF(B61="","",EDATE(D$10,B61-1))</f>
        <v>47088</v>
      </c>
      <c r="D61" s="20" t="n">
        <f aca="false">IF(B61="","",H$7)</f>
        <v>482.158423912907</v>
      </c>
      <c r="E61" s="20" t="n">
        <f aca="false">IF(B61="","",H60*(D$8/12))</f>
        <v>29.7828778301461</v>
      </c>
      <c r="F61" s="20" t="n">
        <f aca="false">IF(B61="","",MIN(H60,D61-E61))</f>
        <v>452.375546082761</v>
      </c>
      <c r="G61" s="20" t="n">
        <f aca="false">IF(B61="","",MIN(D$11,H60-F61))</f>
        <v>0</v>
      </c>
      <c r="H61" s="20" t="n">
        <f aca="false">IF(B61="","",MAX(H60-F61-G61,0))</f>
        <v>5605.15892784527</v>
      </c>
    </row>
    <row r="62" customFormat="false" ht="15.75" hidden="false" customHeight="true" outlineLevel="0" collapsed="false">
      <c r="A62" s="2"/>
      <c r="B62" s="15" t="n">
        <f aca="false">IF(OR(B61="",H61&lt;=0),"",B61+1)</f>
        <v>49</v>
      </c>
      <c r="C62" s="16" t="n">
        <f aca="false">IF(B62="","",EDATE(D$10,B62-1))</f>
        <v>47119</v>
      </c>
      <c r="D62" s="17" t="n">
        <f aca="false">IF(B62="","",H$7)</f>
        <v>482.158423912907</v>
      </c>
      <c r="E62" s="17" t="n">
        <f aca="false">IF(B62="","",H61*(D$8/12))</f>
        <v>27.5586980619059</v>
      </c>
      <c r="F62" s="17" t="n">
        <f aca="false">IF(B62="","",MIN(H61,D62-E62))</f>
        <v>454.599725851001</v>
      </c>
      <c r="G62" s="17" t="n">
        <f aca="false">IF(B62="","",MIN(D$11,H61-F62))</f>
        <v>0</v>
      </c>
      <c r="H62" s="17" t="n">
        <f aca="false">IF(B62="","",MAX(H61-F62-G62,0))</f>
        <v>5150.55920199427</v>
      </c>
    </row>
    <row r="63" customFormat="false" ht="15.75" hidden="false" customHeight="true" outlineLevel="0" collapsed="false">
      <c r="A63" s="2"/>
      <c r="B63" s="18" t="n">
        <f aca="false">IF(OR(B62="",H62&lt;=0),"",B62+1)</f>
        <v>50</v>
      </c>
      <c r="C63" s="19" t="n">
        <f aca="false">IF(B63="","",EDATE(D$10,B63-1))</f>
        <v>47150</v>
      </c>
      <c r="D63" s="20" t="n">
        <f aca="false">IF(B63="","",H$7)</f>
        <v>482.158423912907</v>
      </c>
      <c r="E63" s="20" t="n">
        <f aca="false">IF(B63="","",H62*(D$8/12))</f>
        <v>25.3235827431385</v>
      </c>
      <c r="F63" s="20" t="n">
        <f aca="false">IF(B63="","",MIN(H62,D63-E63))</f>
        <v>456.834841169769</v>
      </c>
      <c r="G63" s="20" t="n">
        <f aca="false">IF(B63="","",MIN(D$11,H62-F63))</f>
        <v>0</v>
      </c>
      <c r="H63" s="20" t="n">
        <f aca="false">IF(B63="","",MAX(H62-F63-G63,0))</f>
        <v>4693.7243608245</v>
      </c>
    </row>
    <row r="64" customFormat="false" ht="15.75" hidden="false" customHeight="true" outlineLevel="0" collapsed="false">
      <c r="A64" s="2"/>
      <c r="B64" s="15" t="n">
        <f aca="false">IF(OR(B63="",H63&lt;=0),"",B63+1)</f>
        <v>51</v>
      </c>
      <c r="C64" s="16" t="n">
        <f aca="false">IF(B64="","",EDATE(D$10,B64-1))</f>
        <v>47178</v>
      </c>
      <c r="D64" s="17" t="n">
        <f aca="false">IF(B64="","",H$7)</f>
        <v>482.158423912907</v>
      </c>
      <c r="E64" s="17" t="n">
        <f aca="false">IF(B64="","",H63*(D$8/12))</f>
        <v>23.0774781073871</v>
      </c>
      <c r="F64" s="17" t="n">
        <f aca="false">IF(B64="","",MIN(H63,D64-E64))</f>
        <v>459.08094580552</v>
      </c>
      <c r="G64" s="17" t="n">
        <f aca="false">IF(B64="","",MIN(D$11,H63-F64))</f>
        <v>0</v>
      </c>
      <c r="H64" s="17" t="n">
        <f aca="false">IF(B64="","",MAX(H63-F64-G64,0))</f>
        <v>4234.64341501898</v>
      </c>
    </row>
    <row r="65" customFormat="false" ht="15.75" hidden="false" customHeight="true" outlineLevel="0" collapsed="false">
      <c r="A65" s="2"/>
      <c r="B65" s="18" t="n">
        <f aca="false">IF(OR(B64="",H64&lt;=0),"",B64+1)</f>
        <v>52</v>
      </c>
      <c r="C65" s="19" t="n">
        <f aca="false">IF(B65="","",EDATE(D$10,B65-1))</f>
        <v>47209</v>
      </c>
      <c r="D65" s="20" t="n">
        <f aca="false">IF(B65="","",H$7)</f>
        <v>482.158423912907</v>
      </c>
      <c r="E65" s="20" t="n">
        <f aca="false">IF(B65="","",H64*(D$8/12))</f>
        <v>20.8203301238433</v>
      </c>
      <c r="F65" s="20" t="n">
        <f aca="false">IF(B65="","",MIN(H64,D65-E65))</f>
        <v>461.338093789064</v>
      </c>
      <c r="G65" s="20" t="n">
        <f aca="false">IF(B65="","",MIN(D$11,H64-F65))</f>
        <v>0</v>
      </c>
      <c r="H65" s="20" t="n">
        <f aca="false">IF(B65="","",MAX(H64-F65-G65,0))</f>
        <v>3773.30532122991</v>
      </c>
    </row>
    <row r="66" customFormat="false" ht="15.75" hidden="false" customHeight="true" outlineLevel="0" collapsed="false">
      <c r="A66" s="2"/>
      <c r="B66" s="15" t="n">
        <f aca="false">IF(OR(B65="",H65&lt;=0),"",B65+1)</f>
        <v>53</v>
      </c>
      <c r="C66" s="16" t="n">
        <f aca="false">IF(B66="","",EDATE(D$10,B66-1))</f>
        <v>47239</v>
      </c>
      <c r="D66" s="17" t="n">
        <f aca="false">IF(B66="","",H$7)</f>
        <v>482.158423912907</v>
      </c>
      <c r="E66" s="17" t="n">
        <f aca="false">IF(B66="","",H65*(D$8/12))</f>
        <v>18.5520844960471</v>
      </c>
      <c r="F66" s="17" t="n">
        <f aca="false">IF(B66="","",MIN(H65,D66-E66))</f>
        <v>463.60633941686</v>
      </c>
      <c r="G66" s="17" t="n">
        <f aca="false">IF(B66="","",MIN(D$11,H65-F66))</f>
        <v>0</v>
      </c>
      <c r="H66" s="17" t="n">
        <f aca="false">IF(B66="","",MAX(H65-F66-G66,0))</f>
        <v>3309.69898181305</v>
      </c>
    </row>
    <row r="67" customFormat="false" ht="15.75" hidden="false" customHeight="true" outlineLevel="0" collapsed="false">
      <c r="A67" s="2"/>
      <c r="B67" s="18" t="n">
        <f aca="false">IF(OR(B66="",H66&lt;=0),"",B66+1)</f>
        <v>54</v>
      </c>
      <c r="C67" s="19" t="n">
        <f aca="false">IF(B67="","",EDATE(D$10,B67-1))</f>
        <v>47270</v>
      </c>
      <c r="D67" s="20" t="n">
        <f aca="false">IF(B67="","",H$7)</f>
        <v>482.158423912907</v>
      </c>
      <c r="E67" s="20" t="n">
        <f aca="false">IF(B67="","",H66*(D$8/12))</f>
        <v>16.2726866605809</v>
      </c>
      <c r="F67" s="20" t="n">
        <f aca="false">IF(B67="","",MIN(H66,D67-E67))</f>
        <v>465.885737252326</v>
      </c>
      <c r="G67" s="20" t="n">
        <f aca="false">IF(B67="","",MIN(D$11,H66-F67))</f>
        <v>0</v>
      </c>
      <c r="H67" s="20" t="n">
        <f aca="false">IF(B67="","",MAX(H66-F67-G67,0))</f>
        <v>2843.81324456073</v>
      </c>
    </row>
    <row r="68" customFormat="false" ht="15.75" hidden="false" customHeight="true" outlineLevel="0" collapsed="false">
      <c r="A68" s="2"/>
      <c r="B68" s="15" t="n">
        <f aca="false">IF(OR(B67="",H67&lt;=0),"",B67+1)</f>
        <v>55</v>
      </c>
      <c r="C68" s="16" t="n">
        <f aca="false">IF(B68="","",EDATE(D$10,B68-1))</f>
        <v>47300</v>
      </c>
      <c r="D68" s="17" t="n">
        <f aca="false">IF(B68="","",H$7)</f>
        <v>482.158423912907</v>
      </c>
      <c r="E68" s="17" t="n">
        <f aca="false">IF(B68="","",H67*(D$8/12))</f>
        <v>13.9820817857569</v>
      </c>
      <c r="F68" s="17" t="n">
        <f aca="false">IF(B68="","",MIN(H67,D68-E68))</f>
        <v>468.17634212715</v>
      </c>
      <c r="G68" s="17" t="n">
        <f aca="false">IF(B68="","",MIN(D$11,H67-F68))</f>
        <v>0</v>
      </c>
      <c r="H68" s="17" t="n">
        <f aca="false">IF(B68="","",MAX(H67-F68-G68,0))</f>
        <v>2375.63690243358</v>
      </c>
    </row>
    <row r="69" customFormat="false" ht="15.75" hidden="false" customHeight="true" outlineLevel="0" collapsed="false">
      <c r="A69" s="2"/>
      <c r="B69" s="18" t="n">
        <f aca="false">IF(OR(B68="",H68&lt;=0),"",B68+1)</f>
        <v>56</v>
      </c>
      <c r="C69" s="19" t="n">
        <f aca="false">IF(B69="","",EDATE(D$10,B69-1))</f>
        <v>47331</v>
      </c>
      <c r="D69" s="20" t="n">
        <f aca="false">IF(B69="","",H$7)</f>
        <v>482.158423912907</v>
      </c>
      <c r="E69" s="20" t="n">
        <f aca="false">IF(B69="","",H68*(D$8/12))</f>
        <v>11.6802147702984</v>
      </c>
      <c r="F69" s="20" t="n">
        <f aca="false">IF(B69="","",MIN(H68,D69-E69))</f>
        <v>470.478209142609</v>
      </c>
      <c r="G69" s="20" t="n">
        <f aca="false">IF(B69="","",MIN(D$11,H68-F69))</f>
        <v>0</v>
      </c>
      <c r="H69" s="20" t="n">
        <f aca="false">IF(B69="","",MAX(H68-F69-G69,0))</f>
        <v>1905.15869329097</v>
      </c>
    </row>
    <row r="70" customFormat="false" ht="15.75" hidden="false" customHeight="true" outlineLevel="0" collapsed="false">
      <c r="A70" s="2"/>
      <c r="B70" s="15" t="n">
        <f aca="false">IF(OR(B69="",H69&lt;=0),"",B69+1)</f>
        <v>57</v>
      </c>
      <c r="C70" s="16" t="n">
        <f aca="false">IF(B70="","",EDATE(D$10,B70-1))</f>
        <v>47362</v>
      </c>
      <c r="D70" s="17" t="n">
        <f aca="false">IF(B70="","",H$7)</f>
        <v>482.158423912907</v>
      </c>
      <c r="E70" s="17" t="n">
        <f aca="false">IF(B70="","",H69*(D$8/12))</f>
        <v>9.36703024201393</v>
      </c>
      <c r="F70" s="17" t="n">
        <f aca="false">IF(B70="","",MIN(H69,D70-E70))</f>
        <v>472.791393670893</v>
      </c>
      <c r="G70" s="17" t="n">
        <f aca="false">IF(B70="","",MIN(D$11,H69-F70))</f>
        <v>0</v>
      </c>
      <c r="H70" s="17" t="n">
        <f aca="false">IF(B70="","",MAX(H69-F70-G70,0))</f>
        <v>1432.36729962008</v>
      </c>
    </row>
    <row r="71" customFormat="false" ht="15.75" hidden="false" customHeight="true" outlineLevel="0" collapsed="false">
      <c r="A71" s="2"/>
      <c r="B71" s="18" t="n">
        <f aca="false">IF(OR(B70="",H70&lt;=0),"",B70+1)</f>
        <v>58</v>
      </c>
      <c r="C71" s="19" t="n">
        <f aca="false">IF(B71="","",EDATE(D$10,B71-1))</f>
        <v>47392</v>
      </c>
      <c r="D71" s="20" t="n">
        <f aca="false">IF(B71="","",H$7)</f>
        <v>482.158423912907</v>
      </c>
      <c r="E71" s="20" t="n">
        <f aca="false">IF(B71="","",H70*(D$8/12))</f>
        <v>7.04247255646537</v>
      </c>
      <c r="F71" s="20" t="n">
        <f aca="false">IF(B71="","",MIN(H70,D71-E71))</f>
        <v>475.115951356442</v>
      </c>
      <c r="G71" s="20" t="n">
        <f aca="false">IF(B71="","",MIN(D$11,H70-F71))</f>
        <v>0</v>
      </c>
      <c r="H71" s="20" t="n">
        <f aca="false">IF(B71="","",MAX(H70-F71-G71,0))</f>
        <v>957.251348263634</v>
      </c>
    </row>
    <row r="72" customFormat="false" ht="15.75" hidden="false" customHeight="true" outlineLevel="0" collapsed="false">
      <c r="A72" s="2"/>
      <c r="B72" s="15" t="n">
        <f aca="false">IF(OR(B71="",H71&lt;=0),"",B71+1)</f>
        <v>59</v>
      </c>
      <c r="C72" s="16" t="n">
        <f aca="false">IF(B72="","",EDATE(D$10,B72-1))</f>
        <v>47423</v>
      </c>
      <c r="D72" s="17" t="n">
        <f aca="false">IF(B72="","",H$7)</f>
        <v>482.158423912907</v>
      </c>
      <c r="E72" s="17" t="n">
        <f aca="false">IF(B72="","",H71*(D$8/12))</f>
        <v>4.70648579562953</v>
      </c>
      <c r="F72" s="17" t="n">
        <f aca="false">IF(B72="","",MIN(H71,D72-E72))</f>
        <v>477.451938117278</v>
      </c>
      <c r="G72" s="17" t="n">
        <f aca="false">IF(B72="","",MIN(D$11,H71-F72))</f>
        <v>0</v>
      </c>
      <c r="H72" s="17" t="n">
        <f aca="false">IF(B72="","",MAX(H71-F72-G72,0))</f>
        <v>479.799410146357</v>
      </c>
    </row>
    <row r="73" customFormat="false" ht="15.75" hidden="false" customHeight="true" outlineLevel="0" collapsed="false">
      <c r="A73" s="2"/>
      <c r="B73" s="18" t="n">
        <f aca="false">IF(OR(B72="",H72&lt;=0),"",B72+1)</f>
        <v>60</v>
      </c>
      <c r="C73" s="19" t="n">
        <f aca="false">IF(B73="","",EDATE(D$10,B73-1))</f>
        <v>47453</v>
      </c>
      <c r="D73" s="20" t="n">
        <f aca="false">IF(B73="","",H$7)</f>
        <v>482.158423912907</v>
      </c>
      <c r="E73" s="20" t="n">
        <f aca="false">IF(B73="","",H72*(D$8/12))</f>
        <v>2.35901376655292</v>
      </c>
      <c r="F73" s="20" t="n">
        <f aca="false">IF(B73="","",MIN(H72,D73-E73))</f>
        <v>479.799410146354</v>
      </c>
      <c r="G73" s="20" t="n">
        <f aca="false">IF(B73="","",MIN(D$11,H72-F73))</f>
        <v>0</v>
      </c>
      <c r="H73" s="20" t="n">
        <f aca="false">IF(B73="","",MAX(H72-F73-G73,0))</f>
        <v>2.33058017329313E-012</v>
      </c>
    </row>
    <row r="74" customFormat="false" ht="15.75" hidden="false" customHeight="true" outlineLevel="0" collapsed="false">
      <c r="A74" s="2"/>
      <c r="B74" s="15" t="n">
        <f aca="false">IF(OR(B73="",H73&lt;=0),"",B73+1)</f>
        <v>61</v>
      </c>
      <c r="C74" s="16" t="n">
        <f aca="false">IF(B74="","",EDATE(D$10,B74-1))</f>
        <v>47484</v>
      </c>
      <c r="D74" s="17" t="n">
        <f aca="false">IF(B74="","",H$7)</f>
        <v>482.158423912907</v>
      </c>
      <c r="E74" s="17" t="n">
        <f aca="false">IF(B74="","",H73*(D$8/12))</f>
        <v>1.14586858520245E-014</v>
      </c>
      <c r="F74" s="17" t="n">
        <f aca="false">IF(B74="","",MIN(H73,D74-E74))</f>
        <v>2.33058017329313E-012</v>
      </c>
      <c r="G74" s="17" t="n">
        <f aca="false">IF(B74="","",MIN(D$11,H73-F74))</f>
        <v>0</v>
      </c>
      <c r="H74" s="17" t="n">
        <f aca="false">IF(B74="","",MAX(H73-F74-G74,0))</f>
        <v>0</v>
      </c>
    </row>
    <row r="75" customFormat="false" ht="15.75" hidden="false" customHeight="true" outlineLevel="0" collapsed="false">
      <c r="A75" s="2"/>
      <c r="B75" s="18" t="str">
        <f aca="false">IF(OR(B74="",H74&lt;=0),"",B74+1)</f>
        <v/>
      </c>
      <c r="C75" s="19" t="str">
        <f aca="false">IF(B75="","",EDATE(D$10,B75-1))</f>
        <v/>
      </c>
      <c r="D75" s="20" t="str">
        <f aca="false">IF(B75="","",H$7)</f>
        <v/>
      </c>
      <c r="E75" s="20" t="str">
        <f aca="false">IF(B75="","",H74*(D$8/12))</f>
        <v/>
      </c>
      <c r="F75" s="20" t="str">
        <f aca="false">IF(B75="","",MIN(H74,D75-E75))</f>
        <v/>
      </c>
      <c r="G75" s="20" t="str">
        <f aca="false">IF(B75="","",MIN(D$11,H74-F75))</f>
        <v/>
      </c>
      <c r="H75" s="20" t="str">
        <f aca="false">IF(B75="","",MAX(H74-F75-G75,0))</f>
        <v/>
      </c>
    </row>
    <row r="76" customFormat="false" ht="15.75" hidden="false" customHeight="true" outlineLevel="0" collapsed="false">
      <c r="A76" s="2"/>
      <c r="B76" s="15" t="str">
        <f aca="false">IF(OR(B75="",H75&lt;=0),"",B75+1)</f>
        <v/>
      </c>
      <c r="C76" s="16" t="str">
        <f aca="false">IF(B76="","",EDATE(D$10,B76-1))</f>
        <v/>
      </c>
      <c r="D76" s="17" t="str">
        <f aca="false">IF(B76="","",H$7)</f>
        <v/>
      </c>
      <c r="E76" s="17" t="str">
        <f aca="false">IF(B76="","",H75*(D$8/12))</f>
        <v/>
      </c>
      <c r="F76" s="17" t="str">
        <f aca="false">IF(B76="","",MIN(H75,D76-E76))</f>
        <v/>
      </c>
      <c r="G76" s="17" t="str">
        <f aca="false">IF(B76="","",MIN(D$11,H75-F76))</f>
        <v/>
      </c>
      <c r="H76" s="17" t="str">
        <f aca="false">IF(B76="","",MAX(H75-F76-G76,0))</f>
        <v/>
      </c>
    </row>
    <row r="77" customFormat="false" ht="15.75" hidden="false" customHeight="true" outlineLevel="0" collapsed="false">
      <c r="A77" s="2"/>
      <c r="B77" s="18" t="str">
        <f aca="false">IF(OR(B76="",H76&lt;=0),"",B76+1)</f>
        <v/>
      </c>
      <c r="C77" s="19" t="str">
        <f aca="false">IF(B77="","",EDATE(D$10,B77-1))</f>
        <v/>
      </c>
      <c r="D77" s="20" t="str">
        <f aca="false">IF(B77="","",H$7)</f>
        <v/>
      </c>
      <c r="E77" s="20" t="str">
        <f aca="false">IF(B77="","",H76*(D$8/12))</f>
        <v/>
      </c>
      <c r="F77" s="20" t="str">
        <f aca="false">IF(B77="","",MIN(H76,D77-E77))</f>
        <v/>
      </c>
      <c r="G77" s="20" t="str">
        <f aca="false">IF(B77="","",MIN(D$11,H76-F77))</f>
        <v/>
      </c>
      <c r="H77" s="20" t="str">
        <f aca="false">IF(B77="","",MAX(H76-F77-G77,0))</f>
        <v/>
      </c>
    </row>
    <row r="78" customFormat="false" ht="15.75" hidden="false" customHeight="true" outlineLevel="0" collapsed="false">
      <c r="A78" s="2"/>
      <c r="B78" s="15" t="str">
        <f aca="false">IF(OR(B77="",H77&lt;=0),"",B77+1)</f>
        <v/>
      </c>
      <c r="C78" s="16" t="str">
        <f aca="false">IF(B78="","",EDATE(D$10,B78-1))</f>
        <v/>
      </c>
      <c r="D78" s="17" t="str">
        <f aca="false">IF(B78="","",H$7)</f>
        <v/>
      </c>
      <c r="E78" s="17" t="str">
        <f aca="false">IF(B78="","",H77*(D$8/12))</f>
        <v/>
      </c>
      <c r="F78" s="17" t="str">
        <f aca="false">IF(B78="","",MIN(H77,D78-E78))</f>
        <v/>
      </c>
      <c r="G78" s="17" t="str">
        <f aca="false">IF(B78="","",MIN(D$11,H77-F78))</f>
        <v/>
      </c>
      <c r="H78" s="17" t="str">
        <f aca="false">IF(B78="","",MAX(H77-F78-G78,0))</f>
        <v/>
      </c>
    </row>
    <row r="79" customFormat="false" ht="15.75" hidden="false" customHeight="true" outlineLevel="0" collapsed="false">
      <c r="A79" s="2"/>
      <c r="B79" s="18" t="str">
        <f aca="false">IF(OR(B78="",H78&lt;=0),"",B78+1)</f>
        <v/>
      </c>
      <c r="C79" s="19" t="str">
        <f aca="false">IF(B79="","",EDATE(D$10,B79-1))</f>
        <v/>
      </c>
      <c r="D79" s="20" t="str">
        <f aca="false">IF(B79="","",H$7)</f>
        <v/>
      </c>
      <c r="E79" s="20" t="str">
        <f aca="false">IF(B79="","",H78*(D$8/12))</f>
        <v/>
      </c>
      <c r="F79" s="20" t="str">
        <f aca="false">IF(B79="","",MIN(H78,D79-E79))</f>
        <v/>
      </c>
      <c r="G79" s="20" t="str">
        <f aca="false">IF(B79="","",MIN(D$11,H78-F79))</f>
        <v/>
      </c>
      <c r="H79" s="20" t="str">
        <f aca="false">IF(B79="","",MAX(H78-F79-G79,0))</f>
        <v/>
      </c>
    </row>
    <row r="80" customFormat="false" ht="15.75" hidden="false" customHeight="true" outlineLevel="0" collapsed="false">
      <c r="A80" s="2"/>
      <c r="B80" s="15" t="str">
        <f aca="false">IF(OR(B79="",H79&lt;=0),"",B79+1)</f>
        <v/>
      </c>
      <c r="C80" s="16" t="str">
        <f aca="false">IF(B80="","",EDATE(D$10,B80-1))</f>
        <v/>
      </c>
      <c r="D80" s="17" t="str">
        <f aca="false">IF(B80="","",H$7)</f>
        <v/>
      </c>
      <c r="E80" s="17" t="str">
        <f aca="false">IF(B80="","",H79*(D$8/12))</f>
        <v/>
      </c>
      <c r="F80" s="17" t="str">
        <f aca="false">IF(B80="","",MIN(H79,D80-E80))</f>
        <v/>
      </c>
      <c r="G80" s="17" t="str">
        <f aca="false">IF(B80="","",MIN(D$11,H79-F80))</f>
        <v/>
      </c>
      <c r="H80" s="17" t="str">
        <f aca="false">IF(B80="","",MAX(H79-F80-G80,0))</f>
        <v/>
      </c>
    </row>
    <row r="81" customFormat="false" ht="15.75" hidden="false" customHeight="true" outlineLevel="0" collapsed="false">
      <c r="A81" s="2"/>
      <c r="B81" s="18" t="str">
        <f aca="false">IF(OR(B80="",H80&lt;=0),"",B80+1)</f>
        <v/>
      </c>
      <c r="C81" s="19" t="str">
        <f aca="false">IF(B81="","",EDATE(D$10,B81-1))</f>
        <v/>
      </c>
      <c r="D81" s="20" t="str">
        <f aca="false">IF(B81="","",H$7)</f>
        <v/>
      </c>
      <c r="E81" s="20" t="str">
        <f aca="false">IF(B81="","",H80*(D$8/12))</f>
        <v/>
      </c>
      <c r="F81" s="20" t="str">
        <f aca="false">IF(B81="","",MIN(H80,D81-E81))</f>
        <v/>
      </c>
      <c r="G81" s="20" t="str">
        <f aca="false">IF(B81="","",MIN(D$11,H80-F81))</f>
        <v/>
      </c>
      <c r="H81" s="20" t="str">
        <f aca="false">IF(B81="","",MAX(H80-F81-G81,0))</f>
        <v/>
      </c>
    </row>
    <row r="82" customFormat="false" ht="15.75" hidden="false" customHeight="true" outlineLevel="0" collapsed="false">
      <c r="A82" s="2"/>
      <c r="B82" s="15" t="str">
        <f aca="false">IF(OR(B81="",H81&lt;=0),"",B81+1)</f>
        <v/>
      </c>
      <c r="C82" s="16" t="str">
        <f aca="false">IF(B82="","",EDATE(D$10,B82-1))</f>
        <v/>
      </c>
      <c r="D82" s="17" t="str">
        <f aca="false">IF(B82="","",H$7)</f>
        <v/>
      </c>
      <c r="E82" s="17" t="str">
        <f aca="false">IF(B82="","",H81*(D$8/12))</f>
        <v/>
      </c>
      <c r="F82" s="17" t="str">
        <f aca="false">IF(B82="","",MIN(H81,D82-E82))</f>
        <v/>
      </c>
      <c r="G82" s="17" t="str">
        <f aca="false">IF(B82="","",MIN(D$11,H81-F82))</f>
        <v/>
      </c>
      <c r="H82" s="17" t="str">
        <f aca="false">IF(B82="","",MAX(H81-F82-G82,0))</f>
        <v/>
      </c>
    </row>
    <row r="83" customFormat="false" ht="15.75" hidden="false" customHeight="true" outlineLevel="0" collapsed="false">
      <c r="A83" s="2"/>
      <c r="B83" s="18" t="str">
        <f aca="false">IF(OR(B82="",H82&lt;=0),"",B82+1)</f>
        <v/>
      </c>
      <c r="C83" s="19" t="str">
        <f aca="false">IF(B83="","",EDATE(D$10,B83-1))</f>
        <v/>
      </c>
      <c r="D83" s="20" t="str">
        <f aca="false">IF(B83="","",H$7)</f>
        <v/>
      </c>
      <c r="E83" s="20" t="str">
        <f aca="false">IF(B83="","",H82*(D$8/12))</f>
        <v/>
      </c>
      <c r="F83" s="20" t="str">
        <f aca="false">IF(B83="","",MIN(H82,D83-E83))</f>
        <v/>
      </c>
      <c r="G83" s="20" t="str">
        <f aca="false">IF(B83="","",MIN(D$11,H82-F83))</f>
        <v/>
      </c>
      <c r="H83" s="20" t="str">
        <f aca="false">IF(B83="","",MAX(H82-F83-G83,0))</f>
        <v/>
      </c>
    </row>
    <row r="84" customFormat="false" ht="15.75" hidden="false" customHeight="true" outlineLevel="0" collapsed="false">
      <c r="A84" s="2"/>
      <c r="B84" s="15" t="str">
        <f aca="false">IF(OR(B83="",H83&lt;=0),"",B83+1)</f>
        <v/>
      </c>
      <c r="C84" s="16" t="str">
        <f aca="false">IF(B84="","",EDATE(D$10,B84-1))</f>
        <v/>
      </c>
      <c r="D84" s="17" t="str">
        <f aca="false">IF(B84="","",H$7)</f>
        <v/>
      </c>
      <c r="E84" s="17" t="str">
        <f aca="false">IF(B84="","",H83*(D$8/12))</f>
        <v/>
      </c>
      <c r="F84" s="17" t="str">
        <f aca="false">IF(B84="","",MIN(H83,D84-E84))</f>
        <v/>
      </c>
      <c r="G84" s="17" t="str">
        <f aca="false">IF(B84="","",MIN(D$11,H83-F84))</f>
        <v/>
      </c>
      <c r="H84" s="17" t="str">
        <f aca="false">IF(B84="","",MAX(H83-F84-G84,0))</f>
        <v/>
      </c>
    </row>
    <row r="85" customFormat="false" ht="15.75" hidden="false" customHeight="true" outlineLevel="0" collapsed="false">
      <c r="A85" s="2"/>
      <c r="B85" s="18" t="str">
        <f aca="false">IF(OR(B84="",H84&lt;=0),"",B84+1)</f>
        <v/>
      </c>
      <c r="C85" s="19" t="str">
        <f aca="false">IF(B85="","",EDATE(D$10,B85-1))</f>
        <v/>
      </c>
      <c r="D85" s="20" t="str">
        <f aca="false">IF(B85="","",H$7)</f>
        <v/>
      </c>
      <c r="E85" s="20" t="str">
        <f aca="false">IF(B85="","",H84*(D$8/12))</f>
        <v/>
      </c>
      <c r="F85" s="20" t="str">
        <f aca="false">IF(B85="","",MIN(H84,D85-E85))</f>
        <v/>
      </c>
      <c r="G85" s="20" t="str">
        <f aca="false">IF(B85="","",MIN(D$11,H84-F85))</f>
        <v/>
      </c>
      <c r="H85" s="20" t="str">
        <f aca="false">IF(B85="","",MAX(H84-F85-G85,0))</f>
        <v/>
      </c>
    </row>
    <row r="86" customFormat="false" ht="15" hidden="false" customHeight="true" outlineLevel="0" collapsed="false">
      <c r="A86" s="2"/>
    </row>
    <row r="87" customFormat="false" ht="15" hidden="false" customHeight="true" outlineLevel="0" collapsed="false">
      <c r="A87" s="2"/>
    </row>
    <row r="88" customFormat="false" ht="15" hidden="false" customHeight="true" outlineLevel="0" collapsed="false">
      <c r="A88" s="2"/>
    </row>
    <row r="89" customFormat="false" ht="15" hidden="false" customHeight="true" outlineLevel="0" collapsed="false">
      <c r="A89" s="2"/>
    </row>
    <row r="90" customFormat="false" ht="15" hidden="false" customHeight="true" outlineLevel="0" collapsed="false">
      <c r="A90" s="2"/>
    </row>
    <row r="91" customFormat="false" ht="15" hidden="false" customHeight="true" outlineLevel="0" collapsed="false">
      <c r="A91" s="2"/>
    </row>
    <row r="92" customFormat="false" ht="15" hidden="false" customHeight="true" outlineLevel="0" collapsed="false">
      <c r="A92" s="2"/>
    </row>
    <row r="93" customFormat="false" ht="15" hidden="false" customHeight="true" outlineLevel="0" collapsed="false">
      <c r="A93" s="2"/>
    </row>
    <row r="94" customFormat="false" ht="15" hidden="false" customHeight="true" outlineLevel="0" collapsed="false">
      <c r="A94" s="2"/>
    </row>
    <row r="95" customFormat="false" ht="15" hidden="false" customHeight="true" outlineLevel="0" collapsed="false">
      <c r="A95" s="2"/>
    </row>
    <row r="96" customFormat="false" ht="15" hidden="false" customHeight="true" outlineLevel="0" collapsed="false">
      <c r="A96" s="2"/>
    </row>
    <row r="97" customFormat="false" ht="15" hidden="false" customHeight="true" outlineLevel="0" collapsed="false">
      <c r="A97" s="2"/>
    </row>
    <row r="98" customFormat="false" ht="15" hidden="false" customHeight="true" outlineLevel="0" collapsed="false">
      <c r="A98" s="2"/>
    </row>
    <row r="99" customFormat="false" ht="15" hidden="false" customHeight="true" outlineLevel="0" collapsed="false">
      <c r="A99" s="2"/>
    </row>
  </sheetData>
  <sheetProtection sheet="true" password="ce4b"/>
  <mergeCells count="15">
    <mergeCell ref="B1:H1"/>
    <mergeCell ref="B2:H2"/>
    <mergeCell ref="B3:H3"/>
    <mergeCell ref="B6:D6"/>
    <mergeCell ref="F6:H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</mergeCells>
  <hyperlinks>
    <hyperlink ref="B2" r:id="rId2" display="pairworkflows.com  |  Free Excel Templates  |  For Personal Use Onl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70"/>
  </cols>
  <sheetData>
    <row r="1" customFormat="false" ht="25.5" hidden="false" customHeight="true" outlineLevel="0" collapsed="false">
      <c r="B1" s="3" t="s">
        <v>21</v>
      </c>
      <c r="C1" s="3"/>
    </row>
    <row r="2" customFormat="false" ht="15.75" hidden="false" customHeight="true" outlineLevel="0" collapsed="false">
      <c r="B2" s="21" t="s">
        <v>22</v>
      </c>
    </row>
    <row r="4" customFormat="false" ht="18" hidden="false" customHeight="true" outlineLevel="0" collapsed="false">
      <c r="B4" s="22" t="s">
        <v>23</v>
      </c>
    </row>
    <row r="5" customFormat="false" ht="60" hidden="false" customHeight="true" outlineLevel="0" collapsed="false">
      <c r="B5" s="23" t="s">
        <v>24</v>
      </c>
    </row>
    <row r="9" customFormat="false" ht="18" hidden="false" customHeight="true" outlineLevel="0" collapsed="false">
      <c r="B9" s="22" t="s">
        <v>25</v>
      </c>
    </row>
    <row r="10" customFormat="false" ht="60" hidden="false" customHeight="true" outlineLevel="0" collapsed="false">
      <c r="B10" s="23" t="s">
        <v>26</v>
      </c>
    </row>
    <row r="14" customFormat="false" ht="18" hidden="false" customHeight="true" outlineLevel="0" collapsed="false">
      <c r="B14" s="22" t="s">
        <v>27</v>
      </c>
    </row>
    <row r="15" customFormat="false" ht="60" hidden="false" customHeight="true" outlineLevel="0" collapsed="false">
      <c r="B15" s="23" t="s">
        <v>28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70"/>
  </cols>
  <sheetData>
    <row r="1" customFormat="false" ht="25.5" hidden="false" customHeight="true" outlineLevel="0" collapsed="false">
      <c r="B1" s="24" t="s">
        <v>29</v>
      </c>
    </row>
    <row r="3" customFormat="false" ht="18" hidden="false" customHeight="true" outlineLevel="0" collapsed="false">
      <c r="B3" s="25" t="s">
        <v>30</v>
      </c>
    </row>
    <row r="4" customFormat="false" ht="30" hidden="false" customHeight="true" outlineLevel="0" collapsed="false">
      <c r="B4" s="26" t="s">
        <v>31</v>
      </c>
    </row>
    <row r="5" customFormat="false" ht="18" hidden="false" customHeight="true" outlineLevel="0" collapsed="false">
      <c r="B5" s="25" t="s">
        <v>32</v>
      </c>
    </row>
    <row r="6" customFormat="false" ht="30" hidden="false" customHeight="true" outlineLevel="0" collapsed="false">
      <c r="B6" s="26" t="s">
        <v>33</v>
      </c>
    </row>
    <row r="7" customFormat="false" ht="18" hidden="false" customHeight="true" outlineLevel="0" collapsed="false">
      <c r="B7" s="25" t="s">
        <v>34</v>
      </c>
    </row>
    <row r="8" customFormat="false" ht="30" hidden="false" customHeight="true" outlineLevel="0" collapsed="false">
      <c r="B8" s="26" t="s">
        <v>35</v>
      </c>
    </row>
    <row r="9" customFormat="false" ht="18" hidden="false" customHeight="true" outlineLevel="0" collapsed="false">
      <c r="B9" s="25" t="s">
        <v>36</v>
      </c>
    </row>
    <row r="10" customFormat="false" ht="30" hidden="false" customHeight="true" outlineLevel="0" collapsed="false">
      <c r="B10" s="2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2026-08-03T09:53:40Z</dcterms:created>
  <dc:creator>openpyxl</dc:creator>
  <dc:description/>
  <dc:language>en-US</dc:language>
  <cp:lastModifiedBy/>
  <dcterms:modified xsi:type="dcterms:W3CDTF">2026-08-03T10:11:52Z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