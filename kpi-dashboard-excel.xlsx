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I Prompts" sheetId="2" r:id="rId5"/>
    <sheet state="visible" name="Instructions" sheetId="3" r:id="rId6"/>
  </sheets>
  <definedNames/>
  <calcPr/>
  <extLst>
    <ext uri="GoogleSheetsCustomDataVersion2">
      <go:sheetsCustomData xmlns:go="http://customooxmlschemas.google.com/" r:id="rId7" roundtripDataChecksum="Ajh2IoFY7HiUIvUIm9dvBThobzx3y8BCDGVHg2OJe5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ID#AAACEatN7Xs
Unknown Author    (2026-08-03 12:58:04)
Enter the total value of inventory on hand.</t>
      </text>
    </comment>
    <comment authorId="0" ref="C13">
      <text>
        <t xml:space="preserve">======
ID#AAACEatN7X4
Unknown Author    (2026-08-03 12:58:04)
Enter total current liabilities (AP, short-term debt).</t>
      </text>
    </comment>
    <comment authorId="0" ref="D14">
      <text>
        <t xml:space="preserve">======
ID#AAACEatN7Xw
Unknown Author    (2026-08-03 12:58:04)
Enter the total value of inventory on hand.</t>
      </text>
    </comment>
    <comment authorId="0" ref="D13">
      <text>
        <t xml:space="preserve">======
ID#AAACEatN7YM
Unknown Author    (2026-08-03 12:58:04)
Enter total current liabilities (AP, short-term debt).</t>
      </text>
    </comment>
    <comment authorId="0" ref="C12">
      <text>
        <t xml:space="preserve">======
ID#AAACEatN7X0
Unknown Author    (2026-08-03 12:58:04)
Enter total current assets (Cash, AR, Inventory).</t>
      </text>
    </comment>
    <comment authorId="0" ref="D12">
      <text>
        <t xml:space="preserve">======
ID#AAACEatN7YI
Unknown Author    (2026-08-03 12:58:04)
Enter total current assets (Cash, AR, Inventory).</t>
      </text>
    </comment>
    <comment authorId="0" ref="C11">
      <text>
        <t xml:space="preserve">======
ID#AAACEatN7YE
Unknown Author    (2026-08-03 12:58:04)
Enter total amount owed by customers (AR).</t>
      </text>
    </comment>
    <comment authorId="0" ref="C10">
      <text>
        <t xml:space="preserve">======
ID#AAACEawI9-g
Unknown Author    (2026-08-03 12:58:04)
Calculated automatically (Revenue - COGS - OpEx).</t>
      </text>
    </comment>
    <comment authorId="0" ref="D11">
      <text>
        <t xml:space="preserve">======
ID#AAACEawI9-c
Unknown Author    (2026-08-03 12:58:04)
Enter total amount owed by customers (AR).</t>
      </text>
    </comment>
    <comment authorId="0" ref="D10">
      <text>
        <t xml:space="preserve">======
ID#AAACEawI9-U
Unknown Author    (2026-08-03 12:58:04)
Calculated automatically (Revenue - COGS - OpEx).</t>
      </text>
    </comment>
    <comment authorId="0" ref="C9">
      <text>
        <t xml:space="preserve">======
ID#AAACEatN7YQ
Unknown Author    (2026-08-03 12:58:04)
Enter Depreciation and Amortization.</t>
      </text>
    </comment>
    <comment authorId="0" ref="D9">
      <text>
        <t xml:space="preserve">======
ID#AAACEawI9-I
Unknown Author    (2026-08-03 12:58:04)
Enter Depreciation and Amortization.</t>
      </text>
    </comment>
    <comment authorId="0" ref="C8">
      <text>
        <t xml:space="preserve">======
ID#AAACEatN7YA
Unknown Author    (2026-08-03 12:58:04)
Enter total operating expenses (salaries, rent, etc.).</t>
      </text>
    </comment>
    <comment authorId="0" ref="C7">
      <text>
        <t xml:space="preserve">======
ID#AAACEawI9-Q
Unknown Author    (2026-08-03 12:58:04)
Enter Cost of Goods Sold (direct costs).</t>
      </text>
    </comment>
    <comment authorId="0" ref="D8">
      <text>
        <t xml:space="preserve">======
ID#AAACEawI9-E
Unknown Author    (2026-08-03 12:58:04)
Enter total operating expenses (salaries, rent, etc.).</t>
      </text>
    </comment>
    <comment authorId="0" ref="C6">
      <text>
        <t xml:space="preserve">======
ID#AAACEawI9-Y
Unknown Author    (2026-08-03 12:58:04)
Enter total sales or revenue for the period.</t>
      </text>
    </comment>
    <comment authorId="0" ref="D7">
      <text>
        <t xml:space="preserve">======
ID#AAACEawI9-M
Unknown Author    (2026-08-03 12:58:04)
Enter Cost of Goods Sold (direct costs).</t>
      </text>
    </comment>
    <comment authorId="0" ref="D6">
      <text>
        <t xml:space="preserve">======
ID#AAACEatN7X8
Unknown Author    (2026-08-03 12:58:04)
Enter total sales or revenue for the period.</t>
      </text>
    </comment>
  </commentList>
  <extLst>
    <ext uri="GoogleSheetsCustomDataVersion2">
      <go:sheetsCustomData xmlns:go="http://customooxmlschemas.google.com/" r:id="rId1" roundtripDataSignature="AMtx7mhtFqW/kodPxh9glXKaFHrYXz/95A=="/>
    </ext>
  </extLst>
</comments>
</file>

<file path=xl/sharedStrings.xml><?xml version="1.0" encoding="utf-8"?>
<sst xmlns="http://schemas.openxmlformats.org/spreadsheetml/2006/main" count="68" uniqueCount="65">
  <si>
    <t>Use Claude or Gemini to Go Deeper</t>
  </si>
  <si>
    <t>How to Use This Template</t>
  </si>
  <si>
    <t>KPI Dashboard</t>
  </si>
  <si>
    <t>STEP 1</t>
  </si>
  <si>
    <t>Copy any prompt below and paste into claude.ai or gemini.google.com</t>
  </si>
  <si>
    <t>Open the 'Dashboard' tab. Find the DATA INPUT section (green cells rows 6-14). Enter your income statement and balance sheet figures for two periods.</t>
  </si>
  <si>
    <t xml:space="preserve">How to use these prompts: go to the Dashboard tab → select cells B6:D14 → copy (Ctrl+C) </t>
  </si>
  <si>
    <t>→ paste into Claude or Gemini → then add the prompt text below.</t>
  </si>
  <si>
    <t>STEP 2</t>
  </si>
  <si>
    <t>Prompt 1 — Analyse Your KPIs</t>
  </si>
  <si>
    <t>The KPI Dashboard section updates automatically. All ratios, margins, and efficiency metrics recalculate instantly when you change the input data.</t>
  </si>
  <si>
    <t>STEP 3</t>
  </si>
  <si>
    <t>pairworkflows.com | Free Excel Templates | For Personal Use Only</t>
  </si>
  <si>
    <t>Read the Status column: 🟢 Green = on target, 🟡 Amber = approaching threshold, 🔴 Red = below target. Focus your attention on Red and Amber flags.</t>
  </si>
  <si>
    <t>Here are my financial KPIs for two periods:
[PASTE YOUR KPI DATA]
Analyse these KPIs and tell me:
• Which KPIs are most critical and why
• Which metrics show the most concerning trends
• What the Red and Amber flags indicate about business health</t>
  </si>
  <si>
    <t>STEP 4</t>
  </si>
  <si>
    <t>Go to the 'AI Prompts' tab. Copy any prompt and paste it into claude.ai or gemini.google.com to get a deeper analysis of your KPI results.</t>
  </si>
  <si>
    <t>Prompt 2 — Identify Worrying Trends</t>
  </si>
  <si>
    <t>Compare Period 1 and Period 2 of my financial KPIs:
[PASTE YOUR KPI DATA]
Identify:
• Which KPIs deteriorated between periods
• Whether the changes are material or within normal variation
• Which trends, if continued, would become serious problems in 3-6 months</t>
  </si>
  <si>
    <t>Prompt 3 — Strategia e Azioni</t>
  </si>
  <si>
    <t>My KPIs for [INSERT RED KPIs HERE] are below the target threshold. Suggest 3 practical corrective actions to improve over the next quarter</t>
  </si>
  <si>
    <t>Prompt 3 — Suggest Corrective Actions</t>
  </si>
  <si>
    <t>My KPIs show the following Red flags:
[LIST YOUR RED KPIs AND VALUES]
For each Red KPI, suggest:
• The most likely root cause
• Two or three specific corrective actions I can take in the next 30 days
• What to monitor to confirm the action is working</t>
  </si>
  <si>
    <t>📊 DATA INPUT — Paste your financial data here</t>
  </si>
  <si>
    <t>Revenue</t>
  </si>
  <si>
    <t>COGS</t>
  </si>
  <si>
    <t>Operating Expenses</t>
  </si>
  <si>
    <t>D&amp;A</t>
  </si>
  <si>
    <t>Operating Income</t>
  </si>
  <si>
    <t>Accounts Receivable</t>
  </si>
  <si>
    <t>Current Assets</t>
  </si>
  <si>
    <t>Current Liabilities</t>
  </si>
  <si>
    <t>Inventory</t>
  </si>
  <si>
    <t>📈 KPI DASHBOARD</t>
  </si>
  <si>
    <t>KPI</t>
  </si>
  <si>
    <t>Formula</t>
  </si>
  <si>
    <t>Period 1</t>
  </si>
  <si>
    <t>Period 2</t>
  </si>
  <si>
    <t>Change</t>
  </si>
  <si>
    <t>Target</t>
  </si>
  <si>
    <t>Status</t>
  </si>
  <si>
    <t>PROFITABILITY</t>
  </si>
  <si>
    <t>Gross Margin %</t>
  </si>
  <si>
    <t>(Rev-COGS)/Rev</t>
  </si>
  <si>
    <t>&gt;= 60%</t>
  </si>
  <si>
    <t>EBITDA Margin %</t>
  </si>
  <si>
    <t>(OpInc+D&amp;A)/Rev</t>
  </si>
  <si>
    <t>&gt;= 18%</t>
  </si>
  <si>
    <t>Operating Margin %</t>
  </si>
  <si>
    <t>OpInc/Rev</t>
  </si>
  <si>
    <t>&gt;= 15%</t>
  </si>
  <si>
    <t>LIQUIDITY</t>
  </si>
  <si>
    <t>Current Ratio</t>
  </si>
  <si>
    <t>CA/CL</t>
  </si>
  <si>
    <t>&gt;= 1.5</t>
  </si>
  <si>
    <t>Quick Ratio</t>
  </si>
  <si>
    <t>(CA-Inv)/CL</t>
  </si>
  <si>
    <t>&gt;= 1.0</t>
  </si>
  <si>
    <t>EFFICIENCY</t>
  </si>
  <si>
    <t>DSO</t>
  </si>
  <si>
    <t>(AR/Rev)*30</t>
  </si>
  <si>
    <t>&lt;= 45</t>
  </si>
  <si>
    <t>DPO</t>
  </si>
  <si>
    <t>(CL/COGS)*30</t>
  </si>
  <si>
    <t>&gt;=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</si>
</sst>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0.0%"/>
    <numFmt numFmtId="166" formatCode="0.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b/>
      <sz val="10.0"/>
      <color rgb="FFFFFFFF"/>
      <name val="Calibri"/>
    </font>
    <font>
      <sz val="9.0"/>
      <color rgb="FF374151"/>
      <name val="Calibri"/>
    </font>
    <font>
      <sz val="10.0"/>
      <color theme="1"/>
      <name val="Calibri"/>
    </font>
    <font>
      <b/>
      <sz val="10.0"/>
      <color rgb="FF085041"/>
      <name val="Calibri"/>
    </font>
    <font>
      <sz val="11.0"/>
      <color rgb="FF000000"/>
      <name val="Calibri"/>
    </font>
    <font>
      <sz val="10.0"/>
      <color rgb="FF000000"/>
      <name val="Calibri"/>
    </font>
    <font>
      <i/>
      <u/>
      <sz val="9.0"/>
      <color rgb="FF9FE1CB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85041"/>
        <bgColor rgb="FF085041"/>
      </patternFill>
    </fill>
    <fill>
      <patternFill patternType="solid">
        <fgColor rgb="FF1D9E75"/>
        <bgColor rgb="FF1D9E75"/>
      </patternFill>
    </fill>
    <fill>
      <patternFill patternType="solid">
        <fgColor rgb="FFFFFFFF"/>
        <bgColor rgb="FFFFFFFF"/>
      </patternFill>
    </fill>
    <fill>
      <patternFill patternType="solid">
        <fgColor rgb="FFE1F5EE"/>
        <bgColor rgb="FFE1F5EE"/>
      </patternFill>
    </fill>
    <fill>
      <patternFill patternType="solid">
        <fgColor rgb="FFF8FAFB"/>
        <bgColor rgb="FFF8FAFB"/>
      </patternFill>
    </fill>
    <fill>
      <patternFill patternType="solid">
        <fgColor rgb="FFD9EAD3"/>
        <bgColor rgb="FFD9EAD3"/>
      </patternFill>
    </fill>
    <fill>
      <patternFill patternType="solid">
        <fgColor rgb="FFF0FDF4"/>
        <bgColor rgb="FFF0FDF4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vertical="bottom" wrapText="0"/>
    </xf>
    <xf borderId="1" fillId="4" fontId="6" numFmtId="0" xfId="0" applyAlignment="1" applyBorder="1" applyFill="1" applyFont="1">
      <alignment shrinkToFit="0" vertical="top" wrapText="1"/>
    </xf>
    <xf borderId="4" fillId="0" fontId="3" numFmtId="0" xfId="0" applyBorder="1" applyFont="1"/>
    <xf borderId="2" fillId="5" fontId="7" numFmtId="0" xfId="0" applyAlignment="1" applyBorder="1" applyFill="1" applyFont="1">
      <alignment shrinkToFit="0" vertical="bottom" wrapText="0"/>
    </xf>
    <xf borderId="2" fillId="6" fontId="8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bottom" wrapText="0"/>
    </xf>
    <xf borderId="2" fillId="5" fontId="7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top" wrapText="1"/>
    </xf>
    <xf borderId="2" fillId="5" fontId="7" numFmtId="0" xfId="0" applyAlignment="1" applyBorder="1" applyFont="1">
      <alignment shrinkToFit="0" vertical="top" wrapText="1"/>
    </xf>
    <xf borderId="2" fillId="6" fontId="1" numFmtId="0" xfId="0" applyAlignment="1" applyBorder="1" applyFont="1">
      <alignment shrinkToFit="0" vertical="top" wrapText="1"/>
    </xf>
    <xf borderId="0" fillId="4" fontId="1" numFmtId="0" xfId="0" applyAlignment="1" applyFont="1">
      <alignment shrinkToFit="0" vertical="bottom" wrapText="0"/>
    </xf>
    <xf borderId="2" fillId="6" fontId="8" numFmtId="0" xfId="0" applyAlignment="1" applyBorder="1" applyFont="1">
      <alignment readingOrder="0" shrinkToFit="0" vertical="top" wrapText="1"/>
    </xf>
    <xf borderId="2" fillId="2" fontId="10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shrinkToFit="0" vertical="bottom" wrapText="0"/>
    </xf>
    <xf borderId="2" fillId="3" fontId="11" numFmtId="0" xfId="0" applyAlignment="1" applyBorder="1" applyFont="1">
      <alignment horizontal="center" shrinkToFit="0" vertical="center" wrapText="0"/>
    </xf>
    <xf borderId="2" fillId="5" fontId="1" numFmtId="0" xfId="0" applyAlignment="1" applyBorder="1" applyFont="1">
      <alignment shrinkToFit="0" vertical="center" wrapText="0"/>
    </xf>
    <xf borderId="0" fillId="5" fontId="1" numFmtId="164" xfId="0" applyAlignment="1" applyFont="1" applyNumberFormat="1">
      <alignment shrinkToFit="0" vertical="bottom" wrapText="0"/>
    </xf>
    <xf borderId="3" fillId="5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shrinkToFit="0" vertical="bottom" wrapText="0"/>
    </xf>
    <xf borderId="2" fillId="6" fontId="1" numFmtId="0" xfId="0" applyAlignment="1" applyBorder="1" applyFont="1">
      <alignment shrinkToFit="0" vertical="center" wrapText="0"/>
    </xf>
    <xf borderId="0" fillId="6" fontId="1" numFmtId="164" xfId="0" applyAlignment="1" applyFont="1" applyNumberFormat="1">
      <alignment shrinkToFit="0" vertical="bottom" wrapText="0"/>
    </xf>
    <xf borderId="3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shrinkToFit="0" vertical="bottom" wrapText="0"/>
    </xf>
    <xf borderId="2" fillId="2" fontId="11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2" fillId="7" fontId="12" numFmtId="0" xfId="0" applyAlignment="1" applyBorder="1" applyFill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165" xfId="0" applyAlignment="1" applyBorder="1" applyFont="1" applyNumberFormat="1">
      <alignment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1" fillId="8" fontId="1" numFmtId="0" xfId="0" applyAlignment="1" applyBorder="1" applyFill="1" applyFont="1">
      <alignment shrinkToFit="0" vertical="center" wrapText="0"/>
    </xf>
    <xf borderId="1" fillId="8" fontId="1" numFmtId="0" xfId="0" applyAlignment="1" applyBorder="1" applyFont="1">
      <alignment horizontal="center" shrinkToFit="0" vertical="center" wrapText="0"/>
    </xf>
    <xf borderId="1" fillId="8" fontId="1" numFmtId="165" xfId="0" applyAlignment="1" applyBorder="1" applyFont="1" applyNumberFormat="1">
      <alignment shrinkToFit="0" vertical="center" wrapText="0"/>
    </xf>
    <xf borderId="1" fillId="8" fontId="1" numFmtId="2" xfId="0" applyAlignment="1" applyBorder="1" applyFont="1" applyNumberFormat="1">
      <alignment shrinkToFit="0" vertical="center" wrapText="0"/>
    </xf>
    <xf borderId="1" fillId="4" fontId="1" numFmtId="2" xfId="0" applyAlignment="1" applyBorder="1" applyFont="1" applyNumberFormat="1">
      <alignment shrinkToFit="0" vertical="center" wrapText="0"/>
    </xf>
    <xf borderId="1" fillId="8" fontId="1" numFmtId="166" xfId="0" applyAlignment="1" applyBorder="1" applyFont="1" applyNumberFormat="1">
      <alignment shrinkToFit="0" vertical="center" wrapText="0"/>
    </xf>
    <xf borderId="1" fillId="4" fontId="1" numFmtId="166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airworkflows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5.0"/>
    <col customWidth="1" min="3" max="8" width="15.0"/>
    <col customWidth="1" min="9" max="26" width="8.71"/>
  </cols>
  <sheetData>
    <row r="1" ht="19.5" customHeight="1">
      <c r="A1" s="1"/>
      <c r="B1" s="7" t="s">
        <v>2</v>
      </c>
      <c r="C1" s="10"/>
      <c r="D1" s="10"/>
      <c r="E1" s="10"/>
      <c r="F1" s="10"/>
      <c r="G1" s="10"/>
      <c r="H1" s="4"/>
    </row>
    <row r="2" ht="15.0" customHeight="1">
      <c r="A2" s="1"/>
      <c r="B2" s="20" t="s">
        <v>12</v>
      </c>
      <c r="C2" s="10"/>
      <c r="D2" s="10"/>
      <c r="E2" s="10"/>
      <c r="F2" s="10"/>
      <c r="G2" s="10"/>
      <c r="H2" s="4"/>
    </row>
    <row r="3" ht="15.0" customHeight="1">
      <c r="A3" s="1"/>
      <c r="B3" s="21"/>
      <c r="C3" s="10"/>
      <c r="D3" s="10"/>
      <c r="E3" s="10"/>
      <c r="F3" s="10"/>
      <c r="G3" s="10"/>
      <c r="H3" s="4"/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22" t="s">
        <v>23</v>
      </c>
      <c r="C5" s="10"/>
      <c r="D5" s="10"/>
      <c r="E5" s="10"/>
      <c r="F5" s="10"/>
      <c r="G5" s="10"/>
      <c r="H5" s="4"/>
    </row>
    <row r="6" ht="19.5" customHeight="1">
      <c r="A6" s="1"/>
      <c r="B6" s="23" t="s">
        <v>24</v>
      </c>
      <c r="C6" s="24">
        <v>520000.0</v>
      </c>
      <c r="D6" s="24">
        <v>535000.0</v>
      </c>
      <c r="E6" s="25"/>
      <c r="F6" s="26"/>
      <c r="G6" s="26"/>
      <c r="H6" s="26"/>
    </row>
    <row r="7" ht="19.5" customHeight="1">
      <c r="A7" s="1"/>
      <c r="B7" s="27" t="s">
        <v>25</v>
      </c>
      <c r="C7" s="28">
        <v>201760.0</v>
      </c>
      <c r="D7" s="28">
        <v>209720.0</v>
      </c>
      <c r="E7" s="29"/>
      <c r="F7" s="30"/>
      <c r="G7" s="30"/>
      <c r="H7" s="30"/>
    </row>
    <row r="8" ht="19.5" customHeight="1">
      <c r="A8" s="1"/>
      <c r="B8" s="23" t="s">
        <v>26</v>
      </c>
      <c r="C8" s="24">
        <v>180000.0</v>
      </c>
      <c r="D8" s="24">
        <v>195000.0</v>
      </c>
      <c r="E8" s="25"/>
      <c r="F8" s="26"/>
      <c r="G8" s="26"/>
      <c r="H8" s="26"/>
    </row>
    <row r="9" ht="19.5" customHeight="1">
      <c r="A9" s="1"/>
      <c r="B9" s="27" t="s">
        <v>27</v>
      </c>
      <c r="C9" s="28">
        <v>22000.0</v>
      </c>
      <c r="D9" s="28">
        <v>22000.0</v>
      </c>
      <c r="E9" s="29"/>
      <c r="F9" s="30"/>
      <c r="G9" s="30"/>
      <c r="H9" s="30"/>
    </row>
    <row r="10" ht="19.5" customHeight="1">
      <c r="A10" s="1"/>
      <c r="B10" s="23" t="s">
        <v>28</v>
      </c>
      <c r="C10" s="24">
        <f t="shared" ref="C10:D10" si="1">C6-C7-C8</f>
        <v>138240</v>
      </c>
      <c r="D10" s="24">
        <f t="shared" si="1"/>
        <v>130280</v>
      </c>
      <c r="E10" s="25"/>
      <c r="F10" s="26"/>
      <c r="G10" s="26"/>
      <c r="H10" s="26"/>
    </row>
    <row r="11" ht="19.5" customHeight="1">
      <c r="A11" s="1"/>
      <c r="B11" s="27" t="s">
        <v>29</v>
      </c>
      <c r="C11" s="28">
        <v>240000.0</v>
      </c>
      <c r="D11" s="28">
        <v>276000.0</v>
      </c>
      <c r="E11" s="29"/>
      <c r="F11" s="30"/>
      <c r="G11" s="30"/>
      <c r="H11" s="30"/>
    </row>
    <row r="12" ht="19.5" customHeight="1">
      <c r="A12" s="1"/>
      <c r="B12" s="23" t="s">
        <v>30</v>
      </c>
      <c r="C12" s="24">
        <v>680000.0</v>
      </c>
      <c r="D12" s="24">
        <v>695000.0</v>
      </c>
      <c r="E12" s="25"/>
      <c r="F12" s="26"/>
      <c r="G12" s="26"/>
      <c r="H12" s="26"/>
    </row>
    <row r="13" ht="19.5" customHeight="1">
      <c r="A13" s="1"/>
      <c r="B13" s="27" t="s">
        <v>31</v>
      </c>
      <c r="C13" s="28">
        <v>368000.0</v>
      </c>
      <c r="D13" s="28">
        <v>404000.0</v>
      </c>
      <c r="E13" s="29"/>
      <c r="F13" s="30"/>
      <c r="G13" s="30"/>
      <c r="H13" s="30"/>
    </row>
    <row r="14" ht="19.5" customHeight="1">
      <c r="A14" s="1"/>
      <c r="B14" s="23" t="s">
        <v>32</v>
      </c>
      <c r="C14" s="24">
        <v>85000.0</v>
      </c>
      <c r="D14" s="24">
        <v>88000.0</v>
      </c>
      <c r="E14" s="25"/>
      <c r="F14" s="26"/>
      <c r="G14" s="26"/>
      <c r="H14" s="26"/>
    </row>
    <row r="15" ht="16.5" customHeight="1">
      <c r="A15" s="1"/>
      <c r="B15" s="1"/>
      <c r="C15" s="1"/>
      <c r="D15" s="1"/>
      <c r="E15" s="1"/>
      <c r="F15" s="1"/>
      <c r="G15" s="1"/>
      <c r="H15" s="1"/>
    </row>
    <row r="16" ht="16.5" customHeight="1">
      <c r="A16" s="1"/>
      <c r="B16" s="31" t="s">
        <v>33</v>
      </c>
      <c r="C16" s="10"/>
      <c r="D16" s="10"/>
      <c r="E16" s="10"/>
      <c r="F16" s="10"/>
      <c r="G16" s="10"/>
      <c r="H16" s="4"/>
    </row>
    <row r="17" ht="16.5" customHeight="1">
      <c r="A17" s="1"/>
      <c r="B17" s="32" t="s">
        <v>34</v>
      </c>
      <c r="C17" s="32" t="s">
        <v>35</v>
      </c>
      <c r="D17" s="32" t="s">
        <v>36</v>
      </c>
      <c r="E17" s="32" t="s">
        <v>37</v>
      </c>
      <c r="F17" s="32" t="s">
        <v>38</v>
      </c>
      <c r="G17" s="32" t="s">
        <v>39</v>
      </c>
      <c r="H17" s="32" t="s">
        <v>40</v>
      </c>
    </row>
    <row r="18" ht="16.5" customHeight="1">
      <c r="A18" s="1"/>
      <c r="B18" s="33" t="s">
        <v>41</v>
      </c>
      <c r="C18" s="10"/>
      <c r="D18" s="10"/>
      <c r="E18" s="10"/>
      <c r="F18" s="10"/>
      <c r="G18" s="10"/>
      <c r="H18" s="4"/>
    </row>
    <row r="19" ht="19.5" customHeight="1">
      <c r="A19" s="1"/>
      <c r="B19" s="34" t="s">
        <v>42</v>
      </c>
      <c r="C19" s="35" t="s">
        <v>43</v>
      </c>
      <c r="D19" s="36">
        <f t="shared" ref="D19:E19" si="2">IFERROR((C6-C7)/C6,0)</f>
        <v>0.612</v>
      </c>
      <c r="E19" s="36">
        <f t="shared" si="2"/>
        <v>0.608</v>
      </c>
      <c r="F19" s="36">
        <f t="shared" ref="F19:F21" si="4">IFERROR(D19-C19,0)</f>
        <v>0</v>
      </c>
      <c r="G19" s="35" t="s">
        <v>44</v>
      </c>
      <c r="H19" s="37" t="str">
        <f>IF(D19&gt;=0.6,"🟢 Green",IF(D19&gt;=0.55,"🟡 Amber","🔴 Red"))</f>
        <v>🟢 Green</v>
      </c>
    </row>
    <row r="20" ht="19.5" customHeight="1">
      <c r="A20" s="1"/>
      <c r="B20" s="38" t="s">
        <v>45</v>
      </c>
      <c r="C20" s="39" t="s">
        <v>46</v>
      </c>
      <c r="D20" s="40">
        <f t="shared" ref="D20:E20" si="3">IFERROR((C10+C9)/C6,0)</f>
        <v>0.3081538462</v>
      </c>
      <c r="E20" s="40">
        <f t="shared" si="3"/>
        <v>0.284635514</v>
      </c>
      <c r="F20" s="40">
        <f t="shared" si="4"/>
        <v>0</v>
      </c>
      <c r="G20" s="39" t="s">
        <v>47</v>
      </c>
      <c r="H20" s="39" t="str">
        <f>IF(D20&gt;=0.18,"🟢 Green",IF(D20&gt;=0.15,"🟡 Amber","🔴 Red"))</f>
        <v>🟢 Green</v>
      </c>
    </row>
    <row r="21" ht="19.5" customHeight="1">
      <c r="A21" s="1"/>
      <c r="B21" s="34" t="s">
        <v>48</v>
      </c>
      <c r="C21" s="35" t="s">
        <v>49</v>
      </c>
      <c r="D21" s="36">
        <f t="shared" ref="D21:E21" si="5">IFERROR(C10/C6,0)</f>
        <v>0.2658461538</v>
      </c>
      <c r="E21" s="36">
        <f t="shared" si="5"/>
        <v>0.2435140187</v>
      </c>
      <c r="F21" s="36">
        <f t="shared" si="4"/>
        <v>0</v>
      </c>
      <c r="G21" s="35" t="s">
        <v>50</v>
      </c>
      <c r="H21" s="35" t="str">
        <f>IF(D21&gt;=0.15,"🟢 Green",IF(D21&gt;=0.1,"🟡 Amber","🔴 Red"))</f>
        <v>🟢 Green</v>
      </c>
    </row>
    <row r="22" ht="19.5" customHeight="1">
      <c r="A22" s="1"/>
      <c r="B22" s="33" t="s">
        <v>51</v>
      </c>
      <c r="C22" s="10"/>
      <c r="D22" s="10"/>
      <c r="E22" s="10"/>
      <c r="F22" s="10"/>
      <c r="G22" s="10"/>
      <c r="H22" s="4"/>
    </row>
    <row r="23" ht="19.5" customHeight="1">
      <c r="A23" s="1"/>
      <c r="B23" s="38" t="s">
        <v>52</v>
      </c>
      <c r="C23" s="39" t="s">
        <v>53</v>
      </c>
      <c r="D23" s="41">
        <f t="shared" ref="D23:E23" si="6">IFERROR(C12/C13,0)</f>
        <v>1.847826087</v>
      </c>
      <c r="E23" s="41">
        <f t="shared" si="6"/>
        <v>1.72029703</v>
      </c>
      <c r="F23" s="41">
        <f t="shared" ref="F23:F24" si="8">IFERROR(D23-C23,0)</f>
        <v>0</v>
      </c>
      <c r="G23" s="39" t="s">
        <v>54</v>
      </c>
      <c r="H23" s="39" t="str">
        <f>IF(D23&gt;=1.5,"🟢 Green",IF(D23&gt;=1.2,"🟡 Amber","🔴 Red"))</f>
        <v>🟢 Green</v>
      </c>
    </row>
    <row r="24" ht="19.5" customHeight="1">
      <c r="A24" s="1"/>
      <c r="B24" s="34" t="s">
        <v>55</v>
      </c>
      <c r="C24" s="35" t="s">
        <v>56</v>
      </c>
      <c r="D24" s="42">
        <f t="shared" ref="D24:E24" si="7">IFERROR((C12-C14)/C13,0)</f>
        <v>1.616847826</v>
      </c>
      <c r="E24" s="42">
        <f t="shared" si="7"/>
        <v>1.502475248</v>
      </c>
      <c r="F24" s="42">
        <f t="shared" si="8"/>
        <v>0</v>
      </c>
      <c r="G24" s="35" t="s">
        <v>57</v>
      </c>
      <c r="H24" s="35" t="str">
        <f>IF(D24&gt;=1,"🟢 Green",IF(D24&gt;=0.8,"🟡 Amber","🔴 Red"))</f>
        <v>🟢 Green</v>
      </c>
    </row>
    <row r="25" ht="19.5" customHeight="1">
      <c r="A25" s="1"/>
      <c r="B25" s="33" t="s">
        <v>58</v>
      </c>
      <c r="C25" s="10"/>
      <c r="D25" s="10"/>
      <c r="E25" s="10"/>
      <c r="F25" s="10"/>
      <c r="G25" s="10"/>
      <c r="H25" s="4"/>
    </row>
    <row r="26" ht="19.5" customHeight="1">
      <c r="A26" s="1"/>
      <c r="B26" s="38" t="s">
        <v>59</v>
      </c>
      <c r="C26" s="39" t="s">
        <v>60</v>
      </c>
      <c r="D26" s="43">
        <f t="shared" ref="D26:E26" si="9">IFERROR((C11/C6)*30,0)</f>
        <v>13.84615385</v>
      </c>
      <c r="E26" s="43">
        <f t="shared" si="9"/>
        <v>15.47663551</v>
      </c>
      <c r="F26" s="43">
        <f t="shared" ref="F26:F27" si="11">IFERROR(D26-C26,0)</f>
        <v>0</v>
      </c>
      <c r="G26" s="39" t="s">
        <v>61</v>
      </c>
      <c r="H26" s="39" t="str">
        <f>IF(D26&lt;=45,"🟢 Green",IF(D26&lt;=50,"🟡 Amber","🔴 Red"))</f>
        <v>🟢 Green</v>
      </c>
    </row>
    <row r="27" ht="19.5" customHeight="1">
      <c r="A27" s="1"/>
      <c r="B27" s="34" t="s">
        <v>62</v>
      </c>
      <c r="C27" s="35" t="s">
        <v>63</v>
      </c>
      <c r="D27" s="44">
        <f t="shared" ref="D27:E27" si="10">IFERROR((C13/C7)*30,0)</f>
        <v>54.7184774</v>
      </c>
      <c r="E27" s="44">
        <f t="shared" si="10"/>
        <v>57.79134084</v>
      </c>
      <c r="F27" s="44">
        <f t="shared" si="11"/>
        <v>0</v>
      </c>
      <c r="G27" s="35" t="s">
        <v>64</v>
      </c>
      <c r="H27" s="35" t="str">
        <f>IF(D27&gt;=30,"🟢 Green",IF(D27&gt;=25,"🟡 Amber","🔴 Red"))</f>
        <v>🟢 Green</v>
      </c>
    </row>
    <row r="28" ht="19.5" customHeight="1">
      <c r="A28" s="1"/>
      <c r="B28" s="1"/>
      <c r="C28" s="1"/>
      <c r="D28" s="1"/>
      <c r="E28" s="1"/>
      <c r="F28" s="1"/>
      <c r="G28" s="1"/>
      <c r="H28" s="1"/>
    </row>
    <row r="29" ht="19.5" customHeight="1">
      <c r="A29" s="1"/>
      <c r="B29" s="1"/>
      <c r="C29" s="1"/>
      <c r="D29" s="1"/>
      <c r="E29" s="1"/>
      <c r="F29" s="1"/>
      <c r="G29" s="1"/>
      <c r="H29" s="1"/>
    </row>
    <row r="30" ht="19.5" customHeight="1">
      <c r="A30" s="1"/>
      <c r="B30" s="1"/>
      <c r="C30" s="1"/>
      <c r="D30" s="1"/>
      <c r="E30" s="1"/>
      <c r="F30" s="1"/>
      <c r="G30" s="1"/>
      <c r="H30" s="1"/>
    </row>
    <row r="31" ht="19.5" customHeight="1">
      <c r="A31" s="1"/>
      <c r="B31" s="1"/>
      <c r="C31" s="1"/>
      <c r="D31" s="1"/>
      <c r="E31" s="1"/>
      <c r="F31" s="1"/>
      <c r="G31" s="1"/>
      <c r="H31" s="1"/>
    </row>
    <row r="32" ht="19.5" customHeight="1">
      <c r="A32" s="1"/>
      <c r="B32" s="1"/>
      <c r="C32" s="1"/>
      <c r="D32" s="1"/>
      <c r="E32" s="1"/>
      <c r="F32" s="1"/>
      <c r="G32" s="1"/>
      <c r="H32" s="1"/>
    </row>
    <row r="33" ht="19.5" customHeight="1">
      <c r="A33" s="1"/>
      <c r="B33" s="1"/>
      <c r="C33" s="1"/>
      <c r="D33" s="1"/>
      <c r="E33" s="1"/>
      <c r="F33" s="1"/>
      <c r="G33" s="1"/>
      <c r="H33" s="1"/>
    </row>
    <row r="34" ht="19.5" customHeight="1">
      <c r="A34" s="1"/>
      <c r="B34" s="1"/>
      <c r="C34" s="1"/>
      <c r="D34" s="1"/>
      <c r="E34" s="1"/>
      <c r="F34" s="1"/>
      <c r="G34" s="1"/>
      <c r="H34" s="1"/>
    </row>
    <row r="35" ht="19.5" customHeight="1">
      <c r="A35" s="1"/>
      <c r="B35" s="1"/>
      <c r="C35" s="1"/>
      <c r="D35" s="1"/>
      <c r="E35" s="1"/>
      <c r="F35" s="1"/>
      <c r="G35" s="1"/>
      <c r="H35" s="1"/>
    </row>
    <row r="36" ht="19.5" customHeight="1">
      <c r="A36" s="1"/>
      <c r="B36" s="1"/>
      <c r="C36" s="1"/>
      <c r="D36" s="1"/>
      <c r="E36" s="1"/>
      <c r="F36" s="1"/>
      <c r="G36" s="1"/>
      <c r="H36" s="1"/>
    </row>
    <row r="37" ht="19.5" customHeight="1">
      <c r="A37" s="1"/>
      <c r="B37" s="1"/>
      <c r="C37" s="1"/>
      <c r="D37" s="1"/>
      <c r="E37" s="1"/>
      <c r="F37" s="1"/>
      <c r="G37" s="1"/>
      <c r="H37" s="1"/>
    </row>
    <row r="38" ht="19.5" customHeight="1">
      <c r="A38" s="1"/>
      <c r="B38" s="1"/>
      <c r="C38" s="1"/>
      <c r="D38" s="1"/>
      <c r="E38" s="1"/>
      <c r="F38" s="1"/>
      <c r="G38" s="1"/>
      <c r="H38" s="1"/>
    </row>
    <row r="39" ht="19.5" customHeight="1">
      <c r="A39" s="1"/>
      <c r="B39" s="1"/>
      <c r="C39" s="1"/>
      <c r="D39" s="1"/>
      <c r="E39" s="1"/>
      <c r="F39" s="1"/>
      <c r="G39" s="1"/>
      <c r="H39" s="1"/>
    </row>
    <row r="40" ht="19.5" customHeight="1">
      <c r="A40" s="1"/>
      <c r="B40" s="1"/>
      <c r="C40" s="1"/>
      <c r="D40" s="1"/>
      <c r="E40" s="1"/>
      <c r="F40" s="1"/>
      <c r="G40" s="1"/>
      <c r="H40" s="1"/>
    </row>
    <row r="41" ht="19.5" customHeight="1">
      <c r="A41" s="1"/>
      <c r="B41" s="1"/>
      <c r="C41" s="1"/>
      <c r="D41" s="1"/>
      <c r="E41" s="1"/>
      <c r="F41" s="1"/>
      <c r="G41" s="1"/>
      <c r="H41" s="1"/>
    </row>
    <row r="42" ht="19.5" customHeight="1">
      <c r="A42" s="1"/>
      <c r="B42" s="1"/>
      <c r="C42" s="1"/>
      <c r="D42" s="1"/>
      <c r="E42" s="1"/>
      <c r="F42" s="1"/>
      <c r="G42" s="1"/>
      <c r="H42" s="1"/>
    </row>
    <row r="43" ht="19.5" customHeight="1">
      <c r="A43" s="1"/>
      <c r="B43" s="1"/>
      <c r="C43" s="1"/>
      <c r="D43" s="1"/>
      <c r="E43" s="1"/>
      <c r="F43" s="1"/>
      <c r="G43" s="1"/>
      <c r="H43" s="1"/>
    </row>
    <row r="44" ht="19.5" customHeight="1">
      <c r="A44" s="1"/>
      <c r="B44" s="1"/>
      <c r="C44" s="1"/>
      <c r="D44" s="1"/>
      <c r="E44" s="1"/>
      <c r="F44" s="1"/>
      <c r="G44" s="1"/>
      <c r="H44" s="1"/>
    </row>
    <row r="45" ht="19.5" customHeight="1">
      <c r="A45" s="1"/>
      <c r="B45" s="1"/>
      <c r="C45" s="1"/>
      <c r="D45" s="1"/>
      <c r="E45" s="1"/>
      <c r="F45" s="1"/>
      <c r="G45" s="1"/>
      <c r="H45" s="1"/>
    </row>
    <row r="46" ht="19.5" customHeight="1">
      <c r="A46" s="1"/>
      <c r="B46" s="1"/>
      <c r="C46" s="1"/>
      <c r="D46" s="1"/>
      <c r="E46" s="1"/>
      <c r="F46" s="1"/>
      <c r="G46" s="1"/>
      <c r="H46" s="1"/>
    </row>
    <row r="47" ht="19.5" customHeight="1">
      <c r="A47" s="1"/>
      <c r="B47" s="1"/>
      <c r="C47" s="1"/>
      <c r="D47" s="1"/>
      <c r="E47" s="1"/>
      <c r="F47" s="1"/>
      <c r="G47" s="1"/>
      <c r="H47" s="1"/>
    </row>
    <row r="48" ht="19.5" customHeight="1">
      <c r="A48" s="1"/>
      <c r="B48" s="1"/>
      <c r="C48" s="1"/>
      <c r="D48" s="1"/>
      <c r="E48" s="1"/>
      <c r="F48" s="1"/>
      <c r="G48" s="1"/>
      <c r="H48" s="1"/>
    </row>
    <row r="49" ht="19.5" customHeight="1">
      <c r="A49" s="1"/>
      <c r="B49" s="1"/>
      <c r="C49" s="1"/>
      <c r="D49" s="1"/>
      <c r="E49" s="1"/>
      <c r="F49" s="1"/>
      <c r="G49" s="1"/>
      <c r="H49" s="1"/>
    </row>
    <row r="50" ht="19.5" customHeight="1">
      <c r="A50" s="1"/>
      <c r="B50" s="1"/>
      <c r="C50" s="1"/>
      <c r="D50" s="1"/>
      <c r="E50" s="1"/>
      <c r="F50" s="1"/>
      <c r="G50" s="1"/>
      <c r="H50" s="1"/>
    </row>
    <row r="51" ht="19.5" customHeight="1">
      <c r="A51" s="1"/>
      <c r="B51" s="1"/>
      <c r="C51" s="1"/>
      <c r="D51" s="1"/>
      <c r="E51" s="1"/>
      <c r="F51" s="1"/>
      <c r="G51" s="1"/>
      <c r="H51" s="1"/>
    </row>
    <row r="52" ht="19.5" customHeight="1">
      <c r="A52" s="1"/>
      <c r="B52" s="1"/>
      <c r="C52" s="1"/>
      <c r="D52" s="1"/>
      <c r="E52" s="1"/>
      <c r="F52" s="1"/>
      <c r="G52" s="1"/>
      <c r="H52" s="1"/>
    </row>
    <row r="53" ht="19.5" customHeight="1">
      <c r="A53" s="1"/>
      <c r="B53" s="1"/>
      <c r="C53" s="1"/>
      <c r="D53" s="1"/>
      <c r="E53" s="1"/>
      <c r="F53" s="1"/>
      <c r="G53" s="1"/>
      <c r="H53" s="1"/>
    </row>
    <row r="54" ht="19.5" customHeight="1">
      <c r="A54" s="1"/>
      <c r="B54" s="1"/>
      <c r="C54" s="1"/>
      <c r="D54" s="1"/>
      <c r="E54" s="1"/>
      <c r="F54" s="1"/>
      <c r="G54" s="1"/>
      <c r="H54" s="1"/>
    </row>
    <row r="55" ht="19.5" customHeight="1">
      <c r="A55" s="1"/>
      <c r="B55" s="1"/>
      <c r="C55" s="1"/>
      <c r="D55" s="1"/>
      <c r="E55" s="1"/>
      <c r="F55" s="1"/>
      <c r="G55" s="1"/>
      <c r="H55" s="1"/>
    </row>
    <row r="56" ht="19.5" customHeight="1">
      <c r="A56" s="1"/>
      <c r="B56" s="1"/>
      <c r="C56" s="1"/>
      <c r="D56" s="1"/>
      <c r="E56" s="1"/>
      <c r="F56" s="1"/>
      <c r="G56" s="1"/>
      <c r="H56" s="1"/>
    </row>
    <row r="57" ht="19.5" customHeight="1">
      <c r="A57" s="1"/>
      <c r="B57" s="1"/>
      <c r="C57" s="1"/>
      <c r="D57" s="1"/>
      <c r="E57" s="1"/>
      <c r="F57" s="1"/>
      <c r="G57" s="1"/>
      <c r="H57" s="1"/>
    </row>
    <row r="58" ht="19.5" customHeight="1">
      <c r="A58" s="1"/>
      <c r="B58" s="1"/>
      <c r="C58" s="1"/>
      <c r="D58" s="1"/>
      <c r="E58" s="1"/>
      <c r="F58" s="1"/>
      <c r="G58" s="1"/>
      <c r="H58" s="1"/>
    </row>
    <row r="59" ht="19.5" customHeight="1">
      <c r="A59" s="1"/>
      <c r="B59" s="1"/>
      <c r="C59" s="1"/>
      <c r="D59" s="1"/>
      <c r="E59" s="1"/>
      <c r="F59" s="1"/>
      <c r="G59" s="1"/>
      <c r="H59" s="1"/>
    </row>
    <row r="60" ht="19.5" customHeight="1">
      <c r="A60" s="1"/>
      <c r="B60" s="1"/>
      <c r="C60" s="1"/>
      <c r="D60" s="1"/>
      <c r="E60" s="1"/>
      <c r="F60" s="1"/>
      <c r="G60" s="1"/>
      <c r="H60" s="1"/>
    </row>
    <row r="61" ht="19.5" customHeight="1">
      <c r="A61" s="1"/>
      <c r="B61" s="1"/>
      <c r="C61" s="1"/>
      <c r="D61" s="1"/>
      <c r="E61" s="1"/>
      <c r="F61" s="1"/>
      <c r="G61" s="1"/>
      <c r="H61" s="1"/>
    </row>
    <row r="62" ht="19.5" customHeight="1">
      <c r="A62" s="1"/>
      <c r="B62" s="1"/>
      <c r="C62" s="1"/>
      <c r="D62" s="1"/>
      <c r="E62" s="1"/>
      <c r="F62" s="1"/>
      <c r="G62" s="1"/>
      <c r="H62" s="1"/>
    </row>
    <row r="63" ht="19.5" customHeight="1">
      <c r="A63" s="1"/>
      <c r="B63" s="1"/>
      <c r="C63" s="1"/>
      <c r="D63" s="1"/>
      <c r="E63" s="1"/>
      <c r="F63" s="1"/>
      <c r="G63" s="1"/>
      <c r="H63" s="1"/>
    </row>
    <row r="64" ht="19.5" customHeight="1">
      <c r="A64" s="1"/>
      <c r="B64" s="1"/>
      <c r="C64" s="1"/>
      <c r="D64" s="1"/>
      <c r="E64" s="1"/>
      <c r="F64" s="1"/>
      <c r="G64" s="1"/>
      <c r="H64" s="1"/>
    </row>
    <row r="65" ht="19.5" customHeight="1">
      <c r="A65" s="1"/>
      <c r="B65" s="1"/>
      <c r="C65" s="1"/>
      <c r="D65" s="1"/>
      <c r="E65" s="1"/>
      <c r="F65" s="1"/>
      <c r="G65" s="1"/>
      <c r="H65" s="1"/>
    </row>
    <row r="66" ht="19.5" customHeight="1">
      <c r="A66" s="1"/>
      <c r="B66" s="1"/>
      <c r="C66" s="1"/>
      <c r="D66" s="1"/>
      <c r="E66" s="1"/>
      <c r="F66" s="1"/>
      <c r="G66" s="1"/>
      <c r="H66" s="1"/>
    </row>
    <row r="67" ht="19.5" customHeight="1">
      <c r="A67" s="1"/>
      <c r="B67" s="1"/>
      <c r="C67" s="1"/>
      <c r="D67" s="1"/>
      <c r="E67" s="1"/>
      <c r="F67" s="1"/>
      <c r="G67" s="1"/>
      <c r="H67" s="1"/>
    </row>
    <row r="68" ht="19.5" customHeight="1">
      <c r="A68" s="1"/>
      <c r="B68" s="1"/>
      <c r="C68" s="1"/>
      <c r="D68" s="1"/>
      <c r="E68" s="1"/>
      <c r="F68" s="1"/>
      <c r="G68" s="1"/>
      <c r="H68" s="1"/>
    </row>
    <row r="69" ht="19.5" customHeight="1">
      <c r="A69" s="1"/>
      <c r="B69" s="1"/>
      <c r="C69" s="1"/>
      <c r="D69" s="1"/>
      <c r="E69" s="1"/>
      <c r="F69" s="1"/>
      <c r="G69" s="1"/>
      <c r="H69" s="1"/>
    </row>
    <row r="70" ht="19.5" customHeight="1">
      <c r="A70" s="1"/>
      <c r="B70" s="1"/>
      <c r="C70" s="1"/>
      <c r="D70" s="1"/>
      <c r="E70" s="1"/>
      <c r="F70" s="1"/>
      <c r="G70" s="1"/>
      <c r="H70" s="1"/>
    </row>
    <row r="71" ht="19.5" customHeight="1">
      <c r="A71" s="1"/>
      <c r="B71" s="1"/>
      <c r="C71" s="1"/>
      <c r="D71" s="1"/>
      <c r="E71" s="1"/>
      <c r="F71" s="1"/>
      <c r="G71" s="1"/>
      <c r="H71" s="1"/>
    </row>
    <row r="72" ht="19.5" customHeight="1">
      <c r="A72" s="1"/>
      <c r="B72" s="1"/>
      <c r="C72" s="1"/>
      <c r="D72" s="1"/>
      <c r="E72" s="1"/>
      <c r="F72" s="1"/>
      <c r="G72" s="1"/>
      <c r="H72" s="1"/>
    </row>
    <row r="73" ht="19.5" customHeight="1">
      <c r="A73" s="1"/>
      <c r="B73" s="1"/>
      <c r="C73" s="1"/>
      <c r="D73" s="1"/>
      <c r="E73" s="1"/>
      <c r="F73" s="1"/>
      <c r="G73" s="1"/>
      <c r="H73" s="1"/>
    </row>
    <row r="74" ht="19.5" customHeight="1">
      <c r="A74" s="1"/>
      <c r="B74" s="1"/>
      <c r="C74" s="1"/>
      <c r="D74" s="1"/>
      <c r="E74" s="1"/>
      <c r="F74" s="1"/>
      <c r="G74" s="1"/>
      <c r="H74" s="1"/>
    </row>
    <row r="75" ht="19.5" customHeight="1">
      <c r="A75" s="1"/>
      <c r="B75" s="1"/>
      <c r="C75" s="1"/>
      <c r="D75" s="1"/>
      <c r="E75" s="1"/>
      <c r="F75" s="1"/>
      <c r="G75" s="1"/>
      <c r="H75" s="1"/>
    </row>
    <row r="76" ht="19.5" customHeight="1">
      <c r="A76" s="1"/>
      <c r="B76" s="1"/>
      <c r="C76" s="1"/>
      <c r="D76" s="1"/>
      <c r="E76" s="1"/>
      <c r="F76" s="1"/>
      <c r="G76" s="1"/>
      <c r="H76" s="1"/>
    </row>
    <row r="77" ht="19.5" customHeight="1">
      <c r="A77" s="1"/>
      <c r="B77" s="1"/>
      <c r="C77" s="1"/>
      <c r="D77" s="1"/>
      <c r="E77" s="1"/>
      <c r="F77" s="1"/>
      <c r="G77" s="1"/>
      <c r="H77" s="1"/>
    </row>
    <row r="78" ht="19.5" customHeight="1">
      <c r="A78" s="1"/>
      <c r="B78" s="1"/>
      <c r="C78" s="1"/>
      <c r="D78" s="1"/>
      <c r="E78" s="1"/>
      <c r="F78" s="1"/>
      <c r="G78" s="1"/>
      <c r="H78" s="1"/>
    </row>
    <row r="79" ht="19.5" customHeight="1">
      <c r="A79" s="1"/>
      <c r="B79" s="1"/>
      <c r="C79" s="1"/>
      <c r="D79" s="1"/>
      <c r="E79" s="1"/>
      <c r="F79" s="1"/>
      <c r="G79" s="1"/>
      <c r="H79" s="1"/>
    </row>
    <row r="80" ht="19.5" customHeight="1">
      <c r="A80" s="1"/>
      <c r="B80" s="1"/>
      <c r="C80" s="1"/>
      <c r="D80" s="1"/>
      <c r="E80" s="1"/>
      <c r="F80" s="1"/>
      <c r="G80" s="1"/>
      <c r="H80" s="1"/>
    </row>
    <row r="81" ht="19.5" customHeight="1">
      <c r="A81" s="1"/>
      <c r="B81" s="1"/>
      <c r="C81" s="1"/>
      <c r="D81" s="1"/>
      <c r="E81" s="1"/>
      <c r="F81" s="1"/>
      <c r="G81" s="1"/>
      <c r="H81" s="1"/>
    </row>
    <row r="82" ht="19.5" customHeight="1">
      <c r="A82" s="1"/>
      <c r="B82" s="1"/>
      <c r="C82" s="1"/>
      <c r="D82" s="1"/>
      <c r="E82" s="1"/>
      <c r="F82" s="1"/>
      <c r="G82" s="1"/>
      <c r="H82" s="1"/>
    </row>
    <row r="83" ht="19.5" customHeight="1">
      <c r="A83" s="1"/>
      <c r="B83" s="1"/>
      <c r="C83" s="1"/>
      <c r="D83" s="1"/>
      <c r="E83" s="1"/>
      <c r="F83" s="1"/>
      <c r="G83" s="1"/>
      <c r="H83" s="1"/>
    </row>
    <row r="84" ht="19.5" customHeight="1">
      <c r="A84" s="1"/>
      <c r="B84" s="1"/>
      <c r="C84" s="1"/>
      <c r="D84" s="1"/>
      <c r="E84" s="1"/>
      <c r="F84" s="1"/>
      <c r="G84" s="1"/>
      <c r="H84" s="1"/>
    </row>
    <row r="85" ht="19.5" customHeight="1">
      <c r="A85" s="1"/>
      <c r="B85" s="1"/>
      <c r="C85" s="1"/>
      <c r="D85" s="1"/>
      <c r="E85" s="1"/>
      <c r="F85" s="1"/>
      <c r="G85" s="1"/>
      <c r="H85" s="1"/>
    </row>
    <row r="86" ht="19.5" customHeight="1">
      <c r="A86" s="1"/>
      <c r="B86" s="1"/>
      <c r="C86" s="1"/>
      <c r="D86" s="1"/>
      <c r="E86" s="1"/>
      <c r="F86" s="1"/>
      <c r="G86" s="1"/>
      <c r="H86" s="1"/>
    </row>
    <row r="87" ht="19.5" customHeight="1">
      <c r="A87" s="1"/>
      <c r="B87" s="1"/>
      <c r="C87" s="1"/>
      <c r="D87" s="1"/>
      <c r="E87" s="1"/>
      <c r="F87" s="1"/>
      <c r="G87" s="1"/>
      <c r="H87" s="1"/>
    </row>
    <row r="88" ht="19.5" customHeight="1">
      <c r="A88" s="1"/>
      <c r="B88" s="1"/>
      <c r="C88" s="1"/>
      <c r="D88" s="1"/>
      <c r="E88" s="1"/>
      <c r="F88" s="1"/>
      <c r="G88" s="1"/>
      <c r="H88" s="1"/>
    </row>
    <row r="89" ht="19.5" customHeight="1">
      <c r="A89" s="1"/>
      <c r="B89" s="1"/>
      <c r="C89" s="1"/>
      <c r="D89" s="1"/>
      <c r="E89" s="1"/>
      <c r="F89" s="1"/>
      <c r="G89" s="1"/>
      <c r="H89" s="1"/>
    </row>
    <row r="90" ht="19.5" customHeight="1">
      <c r="A90" s="1"/>
      <c r="B90" s="1"/>
      <c r="C90" s="1"/>
      <c r="D90" s="1"/>
      <c r="E90" s="1"/>
      <c r="F90" s="1"/>
      <c r="G90" s="1"/>
      <c r="H90" s="1"/>
    </row>
    <row r="91" ht="19.5" customHeight="1">
      <c r="A91" s="1"/>
      <c r="B91" s="1"/>
      <c r="C91" s="1"/>
      <c r="D91" s="1"/>
      <c r="E91" s="1"/>
      <c r="F91" s="1"/>
      <c r="G91" s="1"/>
      <c r="H91" s="1"/>
    </row>
    <row r="92" ht="19.5" customHeight="1">
      <c r="A92" s="1"/>
      <c r="B92" s="1"/>
      <c r="C92" s="1"/>
      <c r="D92" s="1"/>
      <c r="E92" s="1"/>
      <c r="F92" s="1"/>
      <c r="G92" s="1"/>
      <c r="H92" s="1"/>
    </row>
    <row r="93" ht="19.5" customHeight="1">
      <c r="A93" s="1"/>
      <c r="B93" s="1"/>
      <c r="C93" s="1"/>
      <c r="D93" s="1"/>
      <c r="E93" s="1"/>
      <c r="F93" s="1"/>
      <c r="G93" s="1"/>
      <c r="H93" s="1"/>
    </row>
    <row r="94" ht="19.5" customHeight="1">
      <c r="A94" s="1"/>
      <c r="B94" s="1"/>
      <c r="C94" s="1"/>
      <c r="D94" s="1"/>
      <c r="E94" s="1"/>
      <c r="F94" s="1"/>
      <c r="G94" s="1"/>
      <c r="H94" s="1"/>
    </row>
    <row r="95" ht="19.5" customHeight="1">
      <c r="A95" s="1"/>
      <c r="B95" s="1"/>
      <c r="C95" s="1"/>
      <c r="D95" s="1"/>
      <c r="E95" s="1"/>
      <c r="F95" s="1"/>
      <c r="G95" s="1"/>
      <c r="H95" s="1"/>
    </row>
    <row r="96" ht="19.5" customHeight="1">
      <c r="A96" s="1"/>
      <c r="B96" s="1"/>
      <c r="C96" s="1"/>
      <c r="D96" s="1"/>
      <c r="E96" s="1"/>
      <c r="F96" s="1"/>
      <c r="G96" s="1"/>
      <c r="H96" s="1"/>
    </row>
    <row r="97" ht="19.5" customHeight="1">
      <c r="A97" s="1"/>
      <c r="B97" s="1"/>
      <c r="C97" s="1"/>
      <c r="D97" s="1"/>
      <c r="E97" s="1"/>
      <c r="F97" s="1"/>
      <c r="G97" s="1"/>
      <c r="H97" s="1"/>
    </row>
    <row r="98" ht="19.5" customHeight="1">
      <c r="A98" s="1"/>
      <c r="B98" s="1"/>
      <c r="C98" s="1"/>
      <c r="D98" s="1"/>
      <c r="E98" s="1"/>
      <c r="F98" s="1"/>
      <c r="G98" s="1"/>
      <c r="H98" s="1"/>
    </row>
    <row r="99" ht="19.5" customHeight="1">
      <c r="A99" s="1"/>
      <c r="B99" s="1"/>
      <c r="C99" s="1"/>
      <c r="D99" s="1"/>
      <c r="E99" s="1"/>
      <c r="F99" s="1"/>
      <c r="G99" s="1"/>
      <c r="H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8">
    <mergeCell ref="B1:H1"/>
    <mergeCell ref="B2:H2"/>
    <mergeCell ref="B3:H3"/>
    <mergeCell ref="B5:H5"/>
    <mergeCell ref="B16:H16"/>
    <mergeCell ref="B18:H18"/>
    <mergeCell ref="B22:H22"/>
    <mergeCell ref="B25:H25"/>
  </mergeCells>
  <conditionalFormatting sqref="H19:H27">
    <cfRule type="cellIs" dxfId="0" priority="1" operator="equal">
      <formula>"🟢 Green"</formula>
    </cfRule>
  </conditionalFormatting>
  <conditionalFormatting sqref="H19:H27">
    <cfRule type="cellIs" dxfId="1" priority="2" operator="equal">
      <formula>"🟡 Amber"</formula>
    </cfRule>
  </conditionalFormatting>
  <conditionalFormatting sqref="H19:H27">
    <cfRule type="cellIs" dxfId="2" priority="3" operator="equal">
      <formula>"🔴 Red"</formula>
    </cfRule>
  </conditionalFormatting>
  <hyperlinks>
    <hyperlink r:id="rId2" ref="B2"/>
  </hyperlinks>
  <printOptions/>
  <pageMargins bottom="1.0" footer="0.0" header="0.0" left="0.75" right="0.75" top="1.0"/>
  <pageSetup paperSize="9"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80.0"/>
    <col customWidth="1" min="3" max="3" width="20.0"/>
  </cols>
  <sheetData>
    <row r="1" ht="19.5" customHeight="1">
      <c r="A1" s="1"/>
      <c r="B1" s="3" t="s">
        <v>0</v>
      </c>
      <c r="C1" s="4"/>
    </row>
    <row r="2" ht="15.0" customHeight="1">
      <c r="A2" s="1"/>
      <c r="B2" s="6" t="s">
        <v>4</v>
      </c>
    </row>
    <row r="3">
      <c r="A3" s="1"/>
      <c r="B3" s="8" t="s">
        <v>6</v>
      </c>
      <c r="C3" s="1"/>
    </row>
    <row r="4">
      <c r="A4" s="1"/>
      <c r="B4" s="8" t="s">
        <v>7</v>
      </c>
      <c r="C4" s="1"/>
    </row>
    <row r="5">
      <c r="A5" s="1"/>
      <c r="B5" s="8"/>
      <c r="C5" s="1"/>
    </row>
    <row r="6" ht="15.0" customHeight="1">
      <c r="A6" s="1"/>
      <c r="B6" s="11" t="s">
        <v>9</v>
      </c>
      <c r="C6" s="4"/>
    </row>
    <row r="7" ht="79.5" customHeight="1">
      <c r="A7" s="1"/>
      <c r="B7" s="12" t="s">
        <v>14</v>
      </c>
      <c r="C7" s="4"/>
    </row>
    <row r="8">
      <c r="A8" s="1"/>
      <c r="B8" s="1"/>
      <c r="C8" s="1"/>
    </row>
    <row r="9" ht="15.0" customHeight="1">
      <c r="A9" s="1"/>
      <c r="B9" s="14" t="s">
        <v>17</v>
      </c>
      <c r="C9" s="4"/>
    </row>
    <row r="10" ht="45.0" customHeight="1">
      <c r="A10" s="1"/>
      <c r="B10" s="16" t="s">
        <v>17</v>
      </c>
      <c r="C10" s="4"/>
    </row>
    <row r="11" ht="79.5" customHeight="1">
      <c r="A11" s="1"/>
      <c r="B11" s="17" t="s">
        <v>18</v>
      </c>
      <c r="C11" s="4"/>
    </row>
    <row r="12">
      <c r="A12" s="1"/>
      <c r="B12" s="1"/>
      <c r="C12" s="18"/>
    </row>
    <row r="13" ht="15.0" customHeight="1">
      <c r="A13" s="1"/>
      <c r="B13" s="11" t="s">
        <v>19</v>
      </c>
      <c r="C13" s="4"/>
    </row>
    <row r="14" ht="45.0" customHeight="1">
      <c r="A14" s="1"/>
      <c r="B14" s="19" t="s">
        <v>20</v>
      </c>
      <c r="C14" s="4"/>
    </row>
    <row r="15" ht="15.0" customHeight="1">
      <c r="A15" s="1"/>
      <c r="B15" s="11" t="s">
        <v>21</v>
      </c>
      <c r="C15" s="4"/>
    </row>
    <row r="16" ht="79.5" customHeight="1">
      <c r="A16" s="1"/>
      <c r="B16" s="17" t="s">
        <v>22</v>
      </c>
      <c r="C16" s="4"/>
    </row>
    <row r="17">
      <c r="A17" s="1"/>
      <c r="B17" s="1"/>
      <c r="C17" s="1"/>
    </row>
  </sheetData>
  <mergeCells count="11">
    <mergeCell ref="B10:C10"/>
    <mergeCell ref="B11:C11"/>
    <mergeCell ref="B16:C16"/>
    <mergeCell ref="B15:C15"/>
    <mergeCell ref="B1:C1"/>
    <mergeCell ref="B2:C2"/>
    <mergeCell ref="B6:C6"/>
    <mergeCell ref="B7:C7"/>
    <mergeCell ref="B9:C9"/>
    <mergeCell ref="B13:C13"/>
    <mergeCell ref="B14:C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90.0"/>
  </cols>
  <sheetData>
    <row r="1" ht="19.5" customHeight="1">
      <c r="A1" s="1"/>
      <c r="B1" s="2" t="s">
        <v>1</v>
      </c>
    </row>
    <row r="2">
      <c r="A2" s="1"/>
      <c r="B2" s="1"/>
    </row>
    <row r="3" ht="18.0" customHeight="1">
      <c r="A3" s="1"/>
      <c r="B3" s="5" t="s">
        <v>3</v>
      </c>
    </row>
    <row r="4" ht="34.5" customHeight="1">
      <c r="A4" s="1"/>
      <c r="B4" s="9" t="s">
        <v>5</v>
      </c>
    </row>
    <row r="5" ht="18.0" customHeight="1">
      <c r="A5" s="1"/>
      <c r="B5" s="5" t="s">
        <v>8</v>
      </c>
    </row>
    <row r="6" ht="34.5" customHeight="1">
      <c r="A6" s="1"/>
      <c r="B6" s="9" t="s">
        <v>10</v>
      </c>
    </row>
    <row r="7" ht="18.0" customHeight="1">
      <c r="A7" s="1"/>
      <c r="B7" s="5" t="s">
        <v>11</v>
      </c>
    </row>
    <row r="8" ht="34.5" customHeight="1">
      <c r="A8" s="1"/>
      <c r="B8" s="9" t="s">
        <v>13</v>
      </c>
    </row>
    <row r="9" ht="18.0" customHeight="1">
      <c r="A9" s="1"/>
      <c r="B9" s="5" t="s">
        <v>15</v>
      </c>
    </row>
    <row r="10" ht="34.5" customHeight="1">
      <c r="A10" s="1"/>
      <c r="B10" s="9" t="s">
        <v>16</v>
      </c>
    </row>
    <row r="11">
      <c r="A11" s="1"/>
      <c r="B11" s="1"/>
    </row>
    <row r="12" ht="15.0" customHeight="1">
      <c r="A12" s="1"/>
      <c r="B12" s="13" t="s">
        <v>15</v>
      </c>
    </row>
    <row r="13" ht="30.0" customHeight="1">
      <c r="A13" s="1"/>
      <c r="B13" s="15" t="s">
        <v>16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2026-08-03T12:33:04Z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